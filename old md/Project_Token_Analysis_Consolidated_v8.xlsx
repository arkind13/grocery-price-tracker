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og &amp; All Scenarios" sheetId="1" state="visible" r:id="rId1"/>
    <sheet xmlns:r="http://schemas.openxmlformats.org/officeDocument/2006/relationships" name="Phase &amp; Stage Breakdown" sheetId="2" state="visible" r:id="rId2"/>
    <sheet xmlns:r="http://schemas.openxmlformats.org/officeDocument/2006/relationships" name="3-Model Composition" sheetId="3" state="visible" r:id="rId3"/>
    <sheet xmlns:r="http://schemas.openxmlformats.org/officeDocument/2006/relationships" name="GLM Lite &amp; Pro Usage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0"/>
    <numFmt numFmtId="165" formatCode="#,##0.0"/>
    <numFmt numFmtId="166" formatCode="$#,##0.00"/>
    <numFmt numFmtId="167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i val="1"/>
      <color rgb="0064748B"/>
      <sz val="9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1E293B"/>
      <sz val="11"/>
    </font>
    <font>
      <name val="Segoe UI"/>
      <color rgb="00166534"/>
      <sz val="9"/>
    </font>
    <font>
      <name val="Segoe UI"/>
      <b val="1"/>
      <color rgb="00991B1B"/>
      <sz val="9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  <fill>
      <patternFill patternType="solid">
        <fgColor rgb="005B21B6"/>
        <bgColor rgb="005B21B6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0" fontId="5" fillId="7" borderId="2" pivotButton="0" quotePrefix="0" xfId="0"/>
    <xf numFmtId="3" fontId="5" fillId="7" borderId="2" applyAlignment="1" pivotButton="0" quotePrefix="0" xfId="0">
      <alignment horizontal="right" vertical="center"/>
    </xf>
    <xf numFmtId="166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6" fillId="0" borderId="0" pivotButton="0" quotePrefix="0" xfId="0"/>
    <xf numFmtId="167" fontId="4" fillId="0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167" fontId="5" fillId="7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46" customWidth="1" min="3" max="3"/>
    <col width="11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6" customWidth="1" min="12" max="12"/>
    <col width="23" customWidth="1" min="13" max="13"/>
    <col width="24" customWidth="1" min="14" max="14"/>
    <col width="24" customWidth="1" min="15" max="15"/>
    <col width="24" customWidth="1" min="16" max="16"/>
    <col width="21" customWidth="1" min="17" max="17"/>
    <col width="24" customWidth="1" min="18" max="18"/>
    <col width="23" customWidth="1" min="19" max="19"/>
    <col width="24" customWidth="1" min="20" max="20"/>
  </cols>
  <sheetData>
    <row r="1">
      <c r="A1" s="1" t="inlineStr">
        <is>
          <t>Complete Execution Token Log &amp; 8-Platform Scenario Cost Matrix (USD)</t>
        </is>
      </c>
    </row>
    <row r="2">
      <c r="A2" s="2" t="inlineStr">
        <is>
          <t>Standardized 3-Model Framework: DeepSeek V4 Flash (+Seed/Gemini) | DeepSeek V4 Pro (Planning) | GLM 5.3 (All other models).</t>
        </is>
      </c>
    </row>
    <row r="4">
      <c r="A4" s="3" t="inlineStr">
        <is>
          <t>Day</t>
        </is>
      </c>
      <c r="B4" s="3" t="inlineStr">
        <is>
          <t>Time Slot</t>
        </is>
      </c>
      <c r="C4" s="3" t="inlineStr">
        <is>
          <t>Phase / Task</t>
        </is>
      </c>
      <c r="D4" s="3" t="inlineStr">
        <is>
          <t>Execution Stage</t>
        </is>
      </c>
      <c r="E4" s="3" t="inlineStr">
        <is>
          <t>Standardized Model</t>
        </is>
      </c>
      <c r="F4" s="3" t="inlineStr">
        <is>
          <t>Steps</t>
        </is>
      </c>
      <c r="G4" s="3" t="inlineStr">
        <is>
          <t>Input Tokens</t>
        </is>
      </c>
      <c r="H4" s="3" t="inlineStr">
        <is>
          <t>Output Tokens</t>
        </is>
      </c>
      <c r="I4" s="3" t="inlineStr">
        <is>
          <t>Reasoning Tokens</t>
        </is>
      </c>
      <c r="J4" s="3" t="inlineStr">
        <is>
          <t>Cache Read Tokens</t>
        </is>
      </c>
      <c r="K4" s="4" t="inlineStr">
        <is>
          <t>GLM Pricing Status</t>
        </is>
      </c>
      <c r="L4" s="4" t="inlineStr">
        <is>
          <t>DeepSeek Status</t>
        </is>
      </c>
      <c r="M4" s="5" t="inlineStr">
        <is>
          <t>Sc. 1: OpenRouter ($)</t>
        </is>
      </c>
      <c r="N4" s="5" t="inlineStr">
        <is>
          <t>Sc. 2: MOT API ($)</t>
        </is>
      </c>
      <c r="O4" s="5" t="inlineStr">
        <is>
          <t>Sc. 3: Cheaper Inf ($)</t>
        </is>
      </c>
      <c r="P4" s="5" t="inlineStr">
        <is>
          <t>Sc. 4: DeepSeek Direct ($)</t>
        </is>
      </c>
      <c r="Q4" s="6" t="inlineStr">
        <is>
          <t>Sc. 5: GLM 5.3 Credits</t>
        </is>
      </c>
      <c r="R4" s="6" t="inlineStr">
        <is>
          <t>Sc. 6: DS+GLM Lite ($)</t>
        </is>
      </c>
      <c r="S4" s="6" t="inlineStr">
        <is>
          <t>Sc. 7: OR+GLM Lite ($)</t>
        </is>
      </c>
      <c r="T4" s="6" t="inlineStr">
        <is>
          <t>Sc. 8: CI+GLM Lite ($)</t>
        </is>
      </c>
    </row>
    <row r="5">
      <c r="A5" s="7" t="inlineStr">
        <is>
          <t>Day 1</t>
        </is>
      </c>
      <c r="B5" s="7" t="inlineStr">
        <is>
          <t>05:00 - 10:00</t>
        </is>
      </c>
      <c r="C5" s="8" t="inlineStr">
        <is>
          <t>Phase 0_1</t>
        </is>
      </c>
      <c r="D5" s="7" t="inlineStr">
        <is>
          <t>Misc</t>
        </is>
      </c>
      <c r="E5" s="8" t="inlineStr">
        <is>
          <t>DeepSeek V4 Flash</t>
        </is>
      </c>
      <c r="F5" s="9" t="n">
        <v>22</v>
      </c>
      <c r="G5" s="9" t="n">
        <v>113989</v>
      </c>
      <c r="H5" s="9" t="n">
        <v>4841</v>
      </c>
      <c r="I5" s="9" t="n">
        <v>4758</v>
      </c>
      <c r="J5" s="9" t="n">
        <v>595712</v>
      </c>
      <c r="K5" s="7" t="inlineStr">
        <is>
          <t>Off-Peak (50%)</t>
        </is>
      </c>
      <c r="L5" s="7" t="inlineStr">
        <is>
          <t>Off-Peak (1x)</t>
        </is>
      </c>
      <c r="M5" s="10" t="n">
        <v>0.0185611027</v>
      </c>
      <c r="N5" s="10" t="n">
        <v>0.012826954</v>
      </c>
      <c r="O5" s="10" t="n">
        <v>0.0087412824</v>
      </c>
      <c r="P5" s="10" t="n">
        <v>0.032442624</v>
      </c>
      <c r="Q5" s="11" t="n">
        <v>95.77092500000001</v>
      </c>
      <c r="R5" s="10" t="n">
        <v>0.032442624</v>
      </c>
      <c r="S5" s="10" t="n">
        <v>0.0185611027</v>
      </c>
      <c r="T5" s="10" t="n">
        <v>0.0087412824</v>
      </c>
    </row>
    <row r="6">
      <c r="A6" s="12" t="inlineStr">
        <is>
          <t>Day 1</t>
        </is>
      </c>
      <c r="B6" s="12" t="inlineStr">
        <is>
          <t>05:00 - 10:00</t>
        </is>
      </c>
      <c r="C6" s="13" t="inlineStr">
        <is>
          <t>Phase 0_1</t>
        </is>
      </c>
      <c r="D6" s="12" t="inlineStr">
        <is>
          <t>Misc</t>
        </is>
      </c>
      <c r="E6" s="13" t="inlineStr">
        <is>
          <t>GLM 5.3</t>
        </is>
      </c>
      <c r="F6" s="14" t="n">
        <v>9</v>
      </c>
      <c r="G6" s="14" t="n">
        <v>55091</v>
      </c>
      <c r="H6" s="14" t="n">
        <v>2678</v>
      </c>
      <c r="I6" s="14" t="n">
        <v>1641</v>
      </c>
      <c r="J6" s="14" t="n">
        <v>376320</v>
      </c>
      <c r="K6" s="12" t="inlineStr">
        <is>
          <t>Off-Peak (50%)</t>
        </is>
      </c>
      <c r="L6" s="12" t="inlineStr">
        <is>
          <t>Off-Peak (1x)</t>
        </is>
      </c>
      <c r="M6" s="15" t="n">
        <v>0.1867538</v>
      </c>
      <c r="N6" s="15" t="n">
        <v>0.07079769999999999</v>
      </c>
      <c r="O6" s="15" t="n">
        <v>0.10271459</v>
      </c>
      <c r="P6" s="15" t="n">
        <v>0.04994154000000001</v>
      </c>
      <c r="Q6" s="16" t="n">
        <v>54.207195</v>
      </c>
      <c r="R6" s="15" t="n">
        <v>0</v>
      </c>
      <c r="S6" s="15" t="n">
        <v>0</v>
      </c>
      <c r="T6" s="15" t="n">
        <v>0</v>
      </c>
    </row>
    <row r="7">
      <c r="A7" s="7" t="inlineStr">
        <is>
          <t>Day 1</t>
        </is>
      </c>
      <c r="B7" s="7" t="inlineStr">
        <is>
          <t>05:00 - 10:00</t>
        </is>
      </c>
      <c r="C7" s="8" t="inlineStr">
        <is>
          <t>Phase 0_2</t>
        </is>
      </c>
      <c r="D7" s="7" t="inlineStr">
        <is>
          <t>Misc</t>
        </is>
      </c>
      <c r="E7" s="8" t="inlineStr">
        <is>
          <t>GLM 5.3</t>
        </is>
      </c>
      <c r="F7" s="9" t="n">
        <v>5</v>
      </c>
      <c r="G7" s="9" t="n">
        <v>22692</v>
      </c>
      <c r="H7" s="9" t="n">
        <v>2294</v>
      </c>
      <c r="I7" s="9" t="n">
        <v>600</v>
      </c>
      <c r="J7" s="9" t="n">
        <v>83456</v>
      </c>
      <c r="K7" s="7" t="inlineStr">
        <is>
          <t>Off-Peak (50%)</t>
        </is>
      </c>
      <c r="L7" s="7" t="inlineStr">
        <is>
          <t>Off-Peak (1x)</t>
        </is>
      </c>
      <c r="M7" s="10" t="n">
        <v>0.06356096</v>
      </c>
      <c r="N7" s="10" t="n">
        <v>0.02677312</v>
      </c>
      <c r="O7" s="10" t="n">
        <v>0.034958528</v>
      </c>
      <c r="P7" s="10" t="n">
        <v>0.021354872</v>
      </c>
      <c r="Q7" s="11" t="n">
        <v>17.6753</v>
      </c>
      <c r="R7" s="10" t="n">
        <v>0</v>
      </c>
      <c r="S7" s="10" t="n">
        <v>0</v>
      </c>
      <c r="T7" s="10" t="n">
        <v>0</v>
      </c>
    </row>
    <row r="8">
      <c r="A8" s="12" t="inlineStr">
        <is>
          <t>Day 1</t>
        </is>
      </c>
      <c r="B8" s="12" t="inlineStr">
        <is>
          <t>05:00 - 10:00</t>
        </is>
      </c>
      <c r="C8" s="13" t="inlineStr">
        <is>
          <t>Phase 0_3</t>
        </is>
      </c>
      <c r="D8" s="12" t="inlineStr">
        <is>
          <t>Misc</t>
        </is>
      </c>
      <c r="E8" s="13" t="inlineStr">
        <is>
          <t>DeepSeek V4 Flash</t>
        </is>
      </c>
      <c r="F8" s="14" t="n">
        <v>28</v>
      </c>
      <c r="G8" s="14" t="n">
        <v>222554</v>
      </c>
      <c r="H8" s="14" t="n">
        <v>14333</v>
      </c>
      <c r="I8" s="14" t="n">
        <v>8551</v>
      </c>
      <c r="J8" s="14" t="n">
        <v>710357</v>
      </c>
      <c r="K8" s="12" t="inlineStr">
        <is>
          <t>Off-Peak (50%)</t>
        </is>
      </c>
      <c r="L8" s="12" t="inlineStr">
        <is>
          <t>Off-Peak (1x)</t>
        </is>
      </c>
      <c r="M8" s="15" t="n">
        <v>0.0294533582</v>
      </c>
      <c r="N8" s="15" t="n">
        <v>0.022557899</v>
      </c>
      <c r="O8" s="15" t="n">
        <v>0.0141584904</v>
      </c>
      <c r="P8" s="15" t="n">
        <v>0.06339415900000001</v>
      </c>
      <c r="Q8" s="16" t="n">
        <v>154.361075</v>
      </c>
      <c r="R8" s="15" t="n">
        <v>0.06339415900000001</v>
      </c>
      <c r="S8" s="15" t="n">
        <v>0.0294533582</v>
      </c>
      <c r="T8" s="15" t="n">
        <v>0.0141584904</v>
      </c>
    </row>
    <row r="9">
      <c r="A9" s="7" t="inlineStr">
        <is>
          <t>Day 1</t>
        </is>
      </c>
      <c r="B9" s="7" t="inlineStr">
        <is>
          <t>05:00 - 10:00</t>
        </is>
      </c>
      <c r="C9" s="8" t="inlineStr">
        <is>
          <t>Phase 0_3</t>
        </is>
      </c>
      <c r="D9" s="7" t="inlineStr">
        <is>
          <t>Misc</t>
        </is>
      </c>
      <c r="E9" s="8" t="inlineStr">
        <is>
          <t>GLM 5.3</t>
        </is>
      </c>
      <c r="F9" s="9" t="n">
        <v>3</v>
      </c>
      <c r="G9" s="9" t="n">
        <v>57549</v>
      </c>
      <c r="H9" s="9" t="n">
        <v>1428</v>
      </c>
      <c r="I9" s="9" t="n">
        <v>147</v>
      </c>
      <c r="J9" s="9" t="n">
        <v>113536</v>
      </c>
      <c r="K9" s="7" t="inlineStr">
        <is>
          <t>Off-Peak (50%)</t>
        </is>
      </c>
      <c r="L9" s="7" t="inlineStr">
        <is>
          <t>Off-Peak (1x)</t>
        </is>
      </c>
      <c r="M9" s="10" t="n">
        <v>0.11637116</v>
      </c>
      <c r="N9" s="10" t="n">
        <v>0.05137342</v>
      </c>
      <c r="O9" s="10" t="n">
        <v>0.064004138</v>
      </c>
      <c r="P9" s="10" t="n">
        <v>0.04330757200000001</v>
      </c>
      <c r="Q9" s="11" t="n">
        <v>31.218565</v>
      </c>
      <c r="R9" s="10" t="n">
        <v>0</v>
      </c>
      <c r="S9" s="10" t="n">
        <v>0</v>
      </c>
      <c r="T9" s="10" t="n">
        <v>0</v>
      </c>
    </row>
    <row r="10">
      <c r="A10" s="12" t="inlineStr">
        <is>
          <t>Day 2</t>
        </is>
      </c>
      <c r="B10" s="12" t="inlineStr">
        <is>
          <t>05:00 - 10:00</t>
        </is>
      </c>
      <c r="C10" s="13" t="inlineStr">
        <is>
          <t>Phase 1_plan</t>
        </is>
      </c>
      <c r="D10" s="12" t="inlineStr">
        <is>
          <t>Plan</t>
        </is>
      </c>
      <c r="E10" s="13" t="inlineStr">
        <is>
          <t>DeepSeek V4 Pro</t>
        </is>
      </c>
      <c r="F10" s="14" t="n">
        <v>61</v>
      </c>
      <c r="G10" s="14" t="n">
        <v>316015</v>
      </c>
      <c r="H10" s="14" t="n">
        <v>18821</v>
      </c>
      <c r="I10" s="14" t="n">
        <v>7363</v>
      </c>
      <c r="J10" s="14" t="n">
        <v>2995456</v>
      </c>
      <c r="K10" s="12" t="inlineStr">
        <is>
          <t>Off-Peak (50%)</t>
        </is>
      </c>
      <c r="L10" s="12" t="inlineStr">
        <is>
          <t>Off-Peak (1x)</t>
        </is>
      </c>
      <c r="M10" s="15" t="n">
        <v>0.031860217</v>
      </c>
      <c r="N10" s="15" t="n">
        <v>0.143704572</v>
      </c>
      <c r="O10" s="15" t="n">
        <v>0.4364297167999999</v>
      </c>
      <c r="P10" s="15" t="n">
        <v>0.311735512</v>
      </c>
      <c r="Q10" s="16" t="n">
        <v>386.224135</v>
      </c>
      <c r="R10" s="15" t="n">
        <v>0.311735512</v>
      </c>
      <c r="S10" s="15" t="n">
        <v>0.031860217</v>
      </c>
      <c r="T10" s="15" t="n">
        <v>0.4364297167999999</v>
      </c>
    </row>
    <row r="11">
      <c r="A11" s="7" t="inlineStr">
        <is>
          <t>Day 2</t>
        </is>
      </c>
      <c r="B11" s="7" t="inlineStr">
        <is>
          <t>05:00 - 10:00</t>
        </is>
      </c>
      <c r="C11" s="8" t="inlineStr">
        <is>
          <t>Phase 1_code</t>
        </is>
      </c>
      <c r="D11" s="7" t="inlineStr">
        <is>
          <t>Code</t>
        </is>
      </c>
      <c r="E11" s="8" t="inlineStr">
        <is>
          <t>DeepSeek V4 Flash</t>
        </is>
      </c>
      <c r="F11" s="9" t="n">
        <v>269</v>
      </c>
      <c r="G11" s="9" t="n">
        <v>2390819</v>
      </c>
      <c r="H11" s="9" t="n">
        <v>136609</v>
      </c>
      <c r="I11" s="9" t="n">
        <v>32592</v>
      </c>
      <c r="J11" s="9" t="n">
        <v>80165376</v>
      </c>
      <c r="K11" s="7" t="inlineStr">
        <is>
          <t>Off-Peak (50%)</t>
        </is>
      </c>
      <c r="L11" s="7" t="inlineStr">
        <is>
          <t>Off-Peak (1x)</t>
        </is>
      </c>
      <c r="M11" s="10" t="n">
        <v>1.5320652389</v>
      </c>
      <c r="N11" s="10" t="n">
        <v>0.747640222</v>
      </c>
      <c r="O11" s="10" t="n">
        <v>0.6730960392000001</v>
      </c>
      <c r="P11" s="10" t="n">
        <v>1.177299752</v>
      </c>
      <c r="Q11" s="11" t="n">
        <v>7802.820314999999</v>
      </c>
      <c r="R11" s="10" t="n">
        <v>1.177299752</v>
      </c>
      <c r="S11" s="10" t="n">
        <v>1.5320652389</v>
      </c>
      <c r="T11" s="10" t="n">
        <v>0.6730960392000001</v>
      </c>
    </row>
    <row r="12">
      <c r="A12" s="12" t="inlineStr">
        <is>
          <t>Day 2</t>
        </is>
      </c>
      <c r="B12" s="12" t="inlineStr">
        <is>
          <t>05:00 - 10:00</t>
        </is>
      </c>
      <c r="C12" s="13" t="inlineStr">
        <is>
          <t>Phase 1_code</t>
        </is>
      </c>
      <c r="D12" s="12" t="inlineStr">
        <is>
          <t>Code</t>
        </is>
      </c>
      <c r="E12" s="13" t="inlineStr">
        <is>
          <t>DeepSeek V4 Flash</t>
        </is>
      </c>
      <c r="F12" s="14" t="n">
        <v>23</v>
      </c>
      <c r="G12" s="14" t="n">
        <v>141581</v>
      </c>
      <c r="H12" s="14" t="n">
        <v>2441</v>
      </c>
      <c r="I12" s="14" t="n">
        <v>548</v>
      </c>
      <c r="J12" s="14" t="n">
        <v>194064</v>
      </c>
      <c r="K12" s="12" t="inlineStr">
        <is>
          <t>Off-Peak (50%)</t>
        </is>
      </c>
      <c r="L12" s="12" t="inlineStr">
        <is>
          <t>Off-Peak (1x)</t>
        </is>
      </c>
      <c r="M12" s="15" t="n">
        <v>0.0132837131</v>
      </c>
      <c r="N12" s="15" t="n">
        <v>0.011610858</v>
      </c>
      <c r="O12" s="15" t="n">
        <v>0.0066699288</v>
      </c>
      <c r="P12" s="15" t="n">
        <v>0.034117328</v>
      </c>
      <c r="Q12" s="16" t="n">
        <v>68.27008499999999</v>
      </c>
      <c r="R12" s="15" t="n">
        <v>0.034117328</v>
      </c>
      <c r="S12" s="15" t="n">
        <v>0.0132837131</v>
      </c>
      <c r="T12" s="15" t="n">
        <v>0.0066699288</v>
      </c>
    </row>
    <row r="13">
      <c r="A13" s="7" t="inlineStr">
        <is>
          <t>Day 3</t>
        </is>
      </c>
      <c r="B13" s="7" t="inlineStr">
        <is>
          <t>05:00 - 10:00</t>
        </is>
      </c>
      <c r="C13" s="8" t="inlineStr">
        <is>
          <t>Phase 2_arch</t>
        </is>
      </c>
      <c r="D13" s="7" t="inlineStr">
        <is>
          <t>Arch</t>
        </is>
      </c>
      <c r="E13" s="8" t="inlineStr">
        <is>
          <t>GLM 5.3</t>
        </is>
      </c>
      <c r="F13" s="9" t="n">
        <v>14</v>
      </c>
      <c r="G13" s="9" t="n">
        <v>68910</v>
      </c>
      <c r="H13" s="9" t="n">
        <v>10338</v>
      </c>
      <c r="I13" s="9" t="n">
        <v>9591</v>
      </c>
      <c r="J13" s="9" t="n">
        <v>547072</v>
      </c>
      <c r="K13" s="7" t="inlineStr">
        <is>
          <t>Off-Peak (50%)</t>
        </is>
      </c>
      <c r="L13" s="7" t="inlineStr">
        <is>
          <t>Off-Peak (1x)</t>
        </is>
      </c>
      <c r="M13" s="10" t="n">
        <v>0.2841999200000001</v>
      </c>
      <c r="N13" s="10" t="n">
        <v>0.10927564</v>
      </c>
      <c r="O13" s="10" t="n">
        <v>0.156309956</v>
      </c>
      <c r="P13" s="10" t="n">
        <v>0.077985424</v>
      </c>
      <c r="Q13" s="11" t="n">
        <v>82.68066999999999</v>
      </c>
      <c r="R13" s="10" t="n">
        <v>0</v>
      </c>
      <c r="S13" s="10" t="n">
        <v>0</v>
      </c>
      <c r="T13" s="10" t="n">
        <v>0</v>
      </c>
    </row>
    <row r="14">
      <c r="A14" s="12" t="inlineStr">
        <is>
          <t>Day 3</t>
        </is>
      </c>
      <c r="B14" s="12" t="inlineStr">
        <is>
          <t>05:00 - 10:00</t>
        </is>
      </c>
      <c r="C14" s="13" t="inlineStr">
        <is>
          <t>Phase 2_arch</t>
        </is>
      </c>
      <c r="D14" s="12" t="inlineStr">
        <is>
          <t>Arch</t>
        </is>
      </c>
      <c r="E14" s="13" t="inlineStr">
        <is>
          <t>DeepSeek V4 Flash</t>
        </is>
      </c>
      <c r="F14" s="14" t="n">
        <v>4</v>
      </c>
      <c r="G14" s="14" t="n">
        <v>130778</v>
      </c>
      <c r="H14" s="14" t="n">
        <v>16354</v>
      </c>
      <c r="I14" s="14" t="n">
        <v>200</v>
      </c>
      <c r="J14" s="14" t="n">
        <v>0</v>
      </c>
      <c r="K14" s="12" t="inlineStr">
        <is>
          <t>Off-Peak (50%)</t>
        </is>
      </c>
      <c r="L14" s="12" t="inlineStr">
        <is>
          <t>Off-Peak (1x)</t>
        </is>
      </c>
      <c r="M14" s="15" t="n">
        <v>0.0116272982</v>
      </c>
      <c r="N14" s="15" t="n">
        <v>0.01144402</v>
      </c>
      <c r="O14" s="15" t="n">
        <v>0.005885496</v>
      </c>
      <c r="P14" s="15" t="n">
        <v>0.0395648</v>
      </c>
      <c r="Q14" s="16" t="n">
        <v>64.74321</v>
      </c>
      <c r="R14" s="15" t="n">
        <v>0.0395648</v>
      </c>
      <c r="S14" s="15" t="n">
        <v>0.0116272982</v>
      </c>
      <c r="T14" s="15" t="n">
        <v>0.005885496</v>
      </c>
    </row>
    <row r="15">
      <c r="A15" s="7" t="inlineStr">
        <is>
          <t>Day 3</t>
        </is>
      </c>
      <c r="B15" s="7" t="inlineStr">
        <is>
          <t>05:00 - 10:00</t>
        </is>
      </c>
      <c r="C15" s="8" t="inlineStr">
        <is>
          <t>Phase 2_plan</t>
        </is>
      </c>
      <c r="D15" s="7" t="inlineStr">
        <is>
          <t>Plan</t>
        </is>
      </c>
      <c r="E15" s="8" t="inlineStr">
        <is>
          <t>DeepSeek V4 Pro</t>
        </is>
      </c>
      <c r="F15" s="9" t="n">
        <v>17</v>
      </c>
      <c r="G15" s="9" t="n">
        <v>176168</v>
      </c>
      <c r="H15" s="9" t="n">
        <v>14425</v>
      </c>
      <c r="I15" s="9" t="n">
        <v>1423</v>
      </c>
      <c r="J15" s="9" t="n">
        <v>699904</v>
      </c>
      <c r="K15" s="7" t="inlineStr">
        <is>
          <t>Off-Peak (50%)</t>
        </is>
      </c>
      <c r="L15" s="7" t="inlineStr">
        <is>
          <t>Off-Peak (1x)</t>
        </is>
      </c>
      <c r="M15" s="10" t="n">
        <v>0.011266243</v>
      </c>
      <c r="N15" s="10" t="n">
        <v>0.060501848</v>
      </c>
      <c r="O15" s="10" t="n">
        <v>0.2243223752</v>
      </c>
      <c r="P15" s="10" t="n">
        <v>0.160230268</v>
      </c>
      <c r="Q15" s="11" t="n">
        <v>137.5798</v>
      </c>
      <c r="R15" s="10" t="n">
        <v>0.160230268</v>
      </c>
      <c r="S15" s="10" t="n">
        <v>0.011266243</v>
      </c>
      <c r="T15" s="10" t="n">
        <v>0.2243223752</v>
      </c>
    </row>
    <row r="16">
      <c r="A16" s="12" t="inlineStr">
        <is>
          <t>Day 3</t>
        </is>
      </c>
      <c r="B16" s="12" t="inlineStr">
        <is>
          <t>05:00 - 10:00</t>
        </is>
      </c>
      <c r="C16" s="13" t="inlineStr">
        <is>
          <t>Phase 2_plan</t>
        </is>
      </c>
      <c r="D16" s="12" t="inlineStr">
        <is>
          <t>Plan</t>
        </is>
      </c>
      <c r="E16" s="13" t="inlineStr">
        <is>
          <t>DeepSeek V4 Pro</t>
        </is>
      </c>
      <c r="F16" s="14" t="n">
        <v>17</v>
      </c>
      <c r="G16" s="14" t="n">
        <v>245833</v>
      </c>
      <c r="H16" s="14" t="n">
        <v>26578</v>
      </c>
      <c r="I16" s="14" t="n">
        <v>611</v>
      </c>
      <c r="J16" s="14" t="n">
        <v>132488</v>
      </c>
      <c r="K16" s="12" t="inlineStr">
        <is>
          <t>Off-Peak (50%)</t>
        </is>
      </c>
      <c r="L16" s="12" t="inlineStr">
        <is>
          <t>Off-Peak (1x)</t>
        </is>
      </c>
      <c r="M16" s="15" t="n">
        <v>0.010295756</v>
      </c>
      <c r="N16" s="15" t="n">
        <v>0.068692316</v>
      </c>
      <c r="O16" s="15" t="n">
        <v>0.3049045384</v>
      </c>
      <c r="P16" s="15" t="n">
        <v>0.217788956</v>
      </c>
      <c r="Q16" s="16" t="n">
        <v>127.967465</v>
      </c>
      <c r="R16" s="15" t="n">
        <v>0.217788956</v>
      </c>
      <c r="S16" s="15" t="n">
        <v>0.010295756</v>
      </c>
      <c r="T16" s="15" t="n">
        <v>0.3049045384</v>
      </c>
    </row>
    <row r="17">
      <c r="A17" s="7" t="inlineStr">
        <is>
          <t>Day 3</t>
        </is>
      </c>
      <c r="B17" s="7" t="inlineStr">
        <is>
          <t>05:00 - 10:00</t>
        </is>
      </c>
      <c r="C17" s="8" t="inlineStr">
        <is>
          <t>Phase 2_code</t>
        </is>
      </c>
      <c r="D17" s="7" t="inlineStr">
        <is>
          <t>Code</t>
        </is>
      </c>
      <c r="E17" s="8" t="inlineStr">
        <is>
          <t>DeepSeek V4 Flash</t>
        </is>
      </c>
      <c r="F17" s="9" t="n">
        <v>40</v>
      </c>
      <c r="G17" s="9" t="n">
        <v>170348</v>
      </c>
      <c r="H17" s="9" t="n">
        <v>13052</v>
      </c>
      <c r="I17" s="9" t="n">
        <v>1976</v>
      </c>
      <c r="J17" s="9" t="n">
        <v>2713344</v>
      </c>
      <c r="K17" s="7" t="inlineStr">
        <is>
          <t>Off-Peak (50%)</t>
        </is>
      </c>
      <c r="L17" s="7" t="inlineStr">
        <is>
          <t>Off-Peak (1x)</t>
        </is>
      </c>
      <c r="M17" s="10" t="n">
        <v>0.0593435444</v>
      </c>
      <c r="N17" s="10" t="n">
        <v>0.03274504800000001</v>
      </c>
      <c r="O17" s="10" t="n">
        <v>0.0266083488</v>
      </c>
      <c r="P17" s="10" t="n">
        <v>0.065084288</v>
      </c>
      <c r="Q17" s="11" t="n">
        <v>305.0667</v>
      </c>
      <c r="R17" s="10" t="n">
        <v>0.065084288</v>
      </c>
      <c r="S17" s="10" t="n">
        <v>0.0593435444</v>
      </c>
      <c r="T17" s="10" t="n">
        <v>0.0266083488</v>
      </c>
    </row>
    <row r="18">
      <c r="A18" s="12" t="inlineStr">
        <is>
          <t>Day 3</t>
        </is>
      </c>
      <c r="B18" s="12" t="inlineStr">
        <is>
          <t>05:00 - 10:00</t>
        </is>
      </c>
      <c r="C18" s="13" t="inlineStr">
        <is>
          <t>Phase 3 architecture</t>
        </is>
      </c>
      <c r="D18" s="12" t="inlineStr">
        <is>
          <t>Arch</t>
        </is>
      </c>
      <c r="E18" s="13" t="inlineStr">
        <is>
          <t>GLM 5.3</t>
        </is>
      </c>
      <c r="F18" s="14" t="n">
        <v>21</v>
      </c>
      <c r="G18" s="14" t="n">
        <v>203926</v>
      </c>
      <c r="H18" s="14" t="n">
        <v>26861</v>
      </c>
      <c r="I18" s="14" t="n">
        <v>15083</v>
      </c>
      <c r="J18" s="14" t="n">
        <v>1084352</v>
      </c>
      <c r="K18" s="12" t="inlineStr">
        <is>
          <t>Off-Peak (50%)</t>
        </is>
      </c>
      <c r="L18" s="12" t="inlineStr">
        <is>
          <t>Off-Peak (1x)</t>
        </is>
      </c>
      <c r="M18" s="15" t="n">
        <v>0.6856163200000001</v>
      </c>
      <c r="N18" s="15" t="n">
        <v>0.2777470400000001</v>
      </c>
      <c r="O18" s="15" t="n">
        <v>0.377088976</v>
      </c>
      <c r="P18" s="15" t="n">
        <v>0.211631684</v>
      </c>
      <c r="Q18" s="16" t="n">
        <v>194.75759</v>
      </c>
      <c r="R18" s="15" t="n">
        <v>0</v>
      </c>
      <c r="S18" s="15" t="n">
        <v>0</v>
      </c>
      <c r="T18" s="15" t="n">
        <v>0</v>
      </c>
    </row>
    <row r="19">
      <c r="A19" s="7" t="inlineStr">
        <is>
          <t>Day 3</t>
        </is>
      </c>
      <c r="B19" s="7" t="inlineStr">
        <is>
          <t>05:00 - 10:00</t>
        </is>
      </c>
      <c r="C19" s="8" t="inlineStr">
        <is>
          <t>Phase 3 architecture</t>
        </is>
      </c>
      <c r="D19" s="7" t="inlineStr">
        <is>
          <t>Arch</t>
        </is>
      </c>
      <c r="E19" s="8" t="inlineStr">
        <is>
          <t>DeepSeek V4 Flash</t>
        </is>
      </c>
      <c r="F19" s="9" t="n">
        <v>12</v>
      </c>
      <c r="G19" s="9" t="n">
        <v>492904</v>
      </c>
      <c r="H19" s="9" t="n">
        <v>66392</v>
      </c>
      <c r="I19" s="9" t="n">
        <v>349</v>
      </c>
      <c r="J19" s="9" t="n">
        <v>324576</v>
      </c>
      <c r="K19" s="7" t="inlineStr">
        <is>
          <t>Off-Peak (50%)</t>
        </is>
      </c>
      <c r="L19" s="7" t="inlineStr">
        <is>
          <t>Off-Peak (1x)</t>
        </is>
      </c>
      <c r="M19" s="10" t="n">
        <v>0.0500749144</v>
      </c>
      <c r="N19" s="10" t="n">
        <v>0.046070192</v>
      </c>
      <c r="O19" s="10" t="n">
        <v>0.0248617152</v>
      </c>
      <c r="P19" s="10" t="n">
        <v>0.154529632</v>
      </c>
      <c r="Q19" s="11" t="n">
        <v>277.31124</v>
      </c>
      <c r="R19" s="10" t="n">
        <v>0.154529632</v>
      </c>
      <c r="S19" s="10" t="n">
        <v>0.0500749144</v>
      </c>
      <c r="T19" s="10" t="n">
        <v>0.0248617152</v>
      </c>
    </row>
    <row r="20">
      <c r="A20" s="12" t="inlineStr">
        <is>
          <t>Day 3</t>
        </is>
      </c>
      <c r="B20" s="12" t="inlineStr">
        <is>
          <t>05:00 - 10:00</t>
        </is>
      </c>
      <c r="C20" s="13" t="inlineStr">
        <is>
          <t>phase 3 plan</t>
        </is>
      </c>
      <c r="D20" s="12" t="inlineStr">
        <is>
          <t>Plan</t>
        </is>
      </c>
      <c r="E20" s="13" t="inlineStr">
        <is>
          <t>DeepSeek V4 Pro</t>
        </is>
      </c>
      <c r="F20" s="14" t="n">
        <v>10</v>
      </c>
      <c r="G20" s="14" t="n">
        <v>140793</v>
      </c>
      <c r="H20" s="14" t="n">
        <v>14838</v>
      </c>
      <c r="I20" s="14" t="n">
        <v>1137</v>
      </c>
      <c r="J20" s="14" t="n">
        <v>385536</v>
      </c>
      <c r="K20" s="12" t="inlineStr">
        <is>
          <t>Off-Peak (50%)</t>
        </is>
      </c>
      <c r="L20" s="12" t="inlineStr">
        <is>
          <t>Off-Peak (1x)</t>
        </is>
      </c>
      <c r="M20" s="15" t="n">
        <v>0.008035392000000001</v>
      </c>
      <c r="N20" s="15" t="n">
        <v>0.045984972</v>
      </c>
      <c r="O20" s="15" t="n">
        <v>0.1830981768</v>
      </c>
      <c r="P20" s="15" t="n">
        <v>0.130784412</v>
      </c>
      <c r="Q20" s="16" t="n">
        <v>99.149745</v>
      </c>
      <c r="R20" s="15" t="n">
        <v>0.130784412</v>
      </c>
      <c r="S20" s="15" t="n">
        <v>0.008035392000000001</v>
      </c>
      <c r="T20" s="15" t="n">
        <v>0.1830981768</v>
      </c>
    </row>
    <row r="21">
      <c r="A21" s="7" t="inlineStr">
        <is>
          <t>Day 3</t>
        </is>
      </c>
      <c r="B21" s="7" t="inlineStr">
        <is>
          <t>05:00 - 10:00</t>
        </is>
      </c>
      <c r="C21" s="8" t="inlineStr">
        <is>
          <t>phase 3 code</t>
        </is>
      </c>
      <c r="D21" s="7" t="inlineStr">
        <is>
          <t>Code</t>
        </is>
      </c>
      <c r="E21" s="8" t="inlineStr">
        <is>
          <t>DeepSeek V4 Flash</t>
        </is>
      </c>
      <c r="F21" s="9" t="n">
        <v>107</v>
      </c>
      <c r="G21" s="9" t="n">
        <v>345428</v>
      </c>
      <c r="H21" s="9" t="n">
        <v>53245</v>
      </c>
      <c r="I21" s="9" t="n">
        <v>11517</v>
      </c>
      <c r="J21" s="9" t="n">
        <v>10402560</v>
      </c>
      <c r="K21" s="7" t="inlineStr">
        <is>
          <t>Off-Peak (50%)</t>
        </is>
      </c>
      <c r="L21" s="7" t="inlineStr">
        <is>
          <t>Off-Peak (1x)</t>
        </is>
      </c>
      <c r="M21" s="10" t="n">
        <v>0.2071627292</v>
      </c>
      <c r="N21" s="10" t="n">
        <v>0.10445218</v>
      </c>
      <c r="O21" s="10" t="n">
        <v>0.09116748</v>
      </c>
      <c r="P21" s="10" t="n">
        <v>0.18395378</v>
      </c>
      <c r="Q21" s="11" t="n">
        <v>1067.28426</v>
      </c>
      <c r="R21" s="10" t="n">
        <v>0.18395378</v>
      </c>
      <c r="S21" s="10" t="n">
        <v>0.2071627292</v>
      </c>
      <c r="T21" s="10" t="n">
        <v>0.09116748</v>
      </c>
    </row>
    <row r="22">
      <c r="A22" s="12" t="inlineStr">
        <is>
          <t>Day 3</t>
        </is>
      </c>
      <c r="B22" s="12" t="inlineStr">
        <is>
          <t>05:00 - 10:00</t>
        </is>
      </c>
      <c r="C22" s="13" t="inlineStr">
        <is>
          <t>Phase 4_arch</t>
        </is>
      </c>
      <c r="D22" s="12" t="inlineStr">
        <is>
          <t>Arch</t>
        </is>
      </c>
      <c r="E22" s="13" t="inlineStr">
        <is>
          <t>GLM 5.3</t>
        </is>
      </c>
      <c r="F22" s="14" t="n">
        <v>15</v>
      </c>
      <c r="G22" s="14" t="n">
        <v>111745</v>
      </c>
      <c r="H22" s="14" t="n">
        <v>19475</v>
      </c>
      <c r="I22" s="14" t="n">
        <v>5495</v>
      </c>
      <c r="J22" s="14" t="n">
        <v>814400</v>
      </c>
      <c r="K22" s="12" t="inlineStr">
        <is>
          <t>Off-Peak (50%)</t>
        </is>
      </c>
      <c r="L22" s="12" t="inlineStr">
        <is>
          <t>Off-Peak (1x)</t>
        </is>
      </c>
      <c r="M22" s="15" t="n">
        <v>0.453877</v>
      </c>
      <c r="N22" s="15" t="n">
        <v>0.1780745</v>
      </c>
      <c r="O22" s="15" t="n">
        <v>0.24963235</v>
      </c>
      <c r="P22" s="15" t="n">
        <v>0.130229</v>
      </c>
      <c r="Q22" s="16" t="n">
        <v>131.146025</v>
      </c>
      <c r="R22" s="15" t="n">
        <v>0</v>
      </c>
      <c r="S22" s="15" t="n">
        <v>0</v>
      </c>
      <c r="T22" s="15" t="n">
        <v>0</v>
      </c>
    </row>
    <row r="23">
      <c r="A23" s="7" t="inlineStr">
        <is>
          <t>Day 3</t>
        </is>
      </c>
      <c r="B23" s="7" t="inlineStr">
        <is>
          <t>05:00 - 10:00</t>
        </is>
      </c>
      <c r="C23" s="8" t="inlineStr">
        <is>
          <t>Phase 4_plan</t>
        </is>
      </c>
      <c r="D23" s="7" t="inlineStr">
        <is>
          <t>Plan</t>
        </is>
      </c>
      <c r="E23" s="8" t="inlineStr">
        <is>
          <t>DeepSeek V4 Pro</t>
        </is>
      </c>
      <c r="F23" s="9" t="n">
        <v>17</v>
      </c>
      <c r="G23" s="9" t="n">
        <v>200464</v>
      </c>
      <c r="H23" s="9" t="n">
        <v>26311</v>
      </c>
      <c r="I23" s="9" t="n">
        <v>3924</v>
      </c>
      <c r="J23" s="9" t="n">
        <v>998400</v>
      </c>
      <c r="K23" s="7" t="inlineStr">
        <is>
          <t>Off-Peak (50%)</t>
        </is>
      </c>
      <c r="L23" s="7" t="inlineStr">
        <is>
          <t>Off-Peak (1x)</t>
        </is>
      </c>
      <c r="M23" s="10" t="n">
        <v>0.014976045</v>
      </c>
      <c r="N23" s="10" t="n">
        <v>0.07764372</v>
      </c>
      <c r="O23" s="10" t="n">
        <v>0.288913548</v>
      </c>
      <c r="P23" s="10" t="n">
        <v>0.20636682</v>
      </c>
      <c r="Q23" s="11" t="n">
        <v>185.59728</v>
      </c>
      <c r="R23" s="10" t="n">
        <v>0.20636682</v>
      </c>
      <c r="S23" s="10" t="n">
        <v>0.014976045</v>
      </c>
      <c r="T23" s="10" t="n">
        <v>0.288913548</v>
      </c>
    </row>
    <row r="24">
      <c r="A24" s="12" t="inlineStr">
        <is>
          <t>Day 3</t>
        </is>
      </c>
      <c r="B24" s="12" t="inlineStr">
        <is>
          <t>05:00 - 10:00</t>
        </is>
      </c>
      <c r="C24" s="13" t="inlineStr">
        <is>
          <t>Phase 4 code</t>
        </is>
      </c>
      <c r="D24" s="12" t="inlineStr">
        <is>
          <t>Code</t>
        </is>
      </c>
      <c r="E24" s="13" t="inlineStr">
        <is>
          <t>DeepSeek V4 Flash</t>
        </is>
      </c>
      <c r="F24" s="14" t="n">
        <v>111</v>
      </c>
      <c r="G24" s="14" t="n">
        <v>546445</v>
      </c>
      <c r="H24" s="14" t="n">
        <v>51469</v>
      </c>
      <c r="I24" s="14" t="n">
        <v>12882</v>
      </c>
      <c r="J24" s="14" t="n">
        <v>11828992</v>
      </c>
      <c r="K24" s="12" t="inlineStr">
        <is>
          <t>Off-Peak (50%)</t>
        </is>
      </c>
      <c r="L24" s="12" t="inlineStr">
        <is>
          <t>Off-Peak (1x)</t>
        </is>
      </c>
      <c r="M24" s="15" t="n">
        <v>0.2444774731</v>
      </c>
      <c r="N24" s="15" t="n">
        <v>0.128259754</v>
      </c>
      <c r="O24" s="15" t="n">
        <v>0.1085465304</v>
      </c>
      <c r="P24" s="15" t="n">
        <v>0.236990384</v>
      </c>
      <c r="Q24" s="16" t="n">
        <v>1255.750645</v>
      </c>
      <c r="R24" s="15" t="n">
        <v>0.236990384</v>
      </c>
      <c r="S24" s="15" t="n">
        <v>0.2444774731</v>
      </c>
      <c r="T24" s="15" t="n">
        <v>0.1085465304</v>
      </c>
    </row>
    <row r="25">
      <c r="A25" s="7" t="inlineStr">
        <is>
          <t>Day 3</t>
        </is>
      </c>
      <c r="B25" s="7" t="inlineStr">
        <is>
          <t>05:00 - 10:00</t>
        </is>
      </c>
      <c r="C25" s="8" t="inlineStr">
        <is>
          <t>Phase 5_arch</t>
        </is>
      </c>
      <c r="D25" s="7" t="inlineStr">
        <is>
          <t>Arch</t>
        </is>
      </c>
      <c r="E25" s="8" t="inlineStr">
        <is>
          <t>GLM 5.3</t>
        </is>
      </c>
      <c r="F25" s="9" t="n">
        <v>12</v>
      </c>
      <c r="G25" s="9" t="n">
        <v>92386</v>
      </c>
      <c r="H25" s="9" t="n">
        <v>13340</v>
      </c>
      <c r="I25" s="9" t="n">
        <v>8344</v>
      </c>
      <c r="J25" s="9" t="n">
        <v>666752</v>
      </c>
      <c r="K25" s="7" t="inlineStr">
        <is>
          <t>Off-Peak (50%)</t>
        </is>
      </c>
      <c r="L25" s="7" t="inlineStr">
        <is>
          <t>Off-Peak (1x)</t>
        </is>
      </c>
      <c r="M25" s="10" t="n">
        <v>0.36139192</v>
      </c>
      <c r="N25" s="10" t="n">
        <v>0.14069084</v>
      </c>
      <c r="O25" s="10" t="n">
        <v>0.198765556</v>
      </c>
      <c r="P25" s="10" t="n">
        <v>0.102056504</v>
      </c>
      <c r="Q25" s="11" t="n">
        <v>104.55509</v>
      </c>
      <c r="R25" s="10" t="n">
        <v>0</v>
      </c>
      <c r="S25" s="10" t="n">
        <v>0</v>
      </c>
      <c r="T25" s="10" t="n">
        <v>0</v>
      </c>
    </row>
    <row r="26">
      <c r="A26" s="12" t="inlineStr">
        <is>
          <t>Day 3</t>
        </is>
      </c>
      <c r="B26" s="12" t="inlineStr">
        <is>
          <t>05:00 - 10:00</t>
        </is>
      </c>
      <c r="C26" s="13" t="inlineStr">
        <is>
          <t>Phase_5_Plan</t>
        </is>
      </c>
      <c r="D26" s="12" t="inlineStr">
        <is>
          <t>Plan</t>
        </is>
      </c>
      <c r="E26" s="13" t="inlineStr">
        <is>
          <t>DeepSeek V4 Pro</t>
        </is>
      </c>
      <c r="F26" s="14" t="n">
        <v>16</v>
      </c>
      <c r="G26" s="14" t="n">
        <v>223337</v>
      </c>
      <c r="H26" s="14" t="n">
        <v>20323</v>
      </c>
      <c r="I26" s="14" t="n">
        <v>2010</v>
      </c>
      <c r="J26" s="14" t="n">
        <v>1154304</v>
      </c>
      <c r="K26" s="12" t="inlineStr">
        <is>
          <t>Off-Peak (50%)</t>
        </is>
      </c>
      <c r="L26" s="12" t="inlineStr">
        <is>
          <t>Off-Peak (1x)</t>
        </is>
      </c>
      <c r="M26" s="15" t="n">
        <v>0.016304463</v>
      </c>
      <c r="N26" s="15" t="n">
        <v>0.083470948</v>
      </c>
      <c r="O26" s="15" t="n">
        <v>0.2982513072</v>
      </c>
      <c r="P26" s="15" t="n">
        <v>0.213036648</v>
      </c>
      <c r="Q26" s="16" t="n">
        <v>199.554705</v>
      </c>
      <c r="R26" s="15" t="n">
        <v>0.213036648</v>
      </c>
      <c r="S26" s="15" t="n">
        <v>0.016304463</v>
      </c>
      <c r="T26" s="15" t="n">
        <v>0.2982513072</v>
      </c>
    </row>
    <row r="27">
      <c r="A27" s="7" t="inlineStr">
        <is>
          <t>Day 3</t>
        </is>
      </c>
      <c r="B27" s="7" t="inlineStr">
        <is>
          <t>05:00 - 10:00</t>
        </is>
      </c>
      <c r="C27" s="8" t="inlineStr">
        <is>
          <t>Phase_5_code</t>
        </is>
      </c>
      <c r="D27" s="7" t="inlineStr">
        <is>
          <t>Code</t>
        </is>
      </c>
      <c r="E27" s="8" t="inlineStr">
        <is>
          <t>DeepSeek V4 Flash</t>
        </is>
      </c>
      <c r="F27" s="9" t="n">
        <v>73</v>
      </c>
      <c r="G27" s="9" t="n">
        <v>328372</v>
      </c>
      <c r="H27" s="9" t="n">
        <v>30592</v>
      </c>
      <c r="I27" s="9" t="n">
        <v>7181</v>
      </c>
      <c r="J27" s="9" t="n">
        <v>8478720</v>
      </c>
      <c r="K27" s="7" t="inlineStr">
        <is>
          <t>Off-Peak (50%)</t>
        </is>
      </c>
      <c r="L27" s="7" t="inlineStr">
        <is>
          <t>Off-Peak (1x)</t>
        </is>
      </c>
      <c r="M27" s="10" t="n">
        <v>0.1698784108</v>
      </c>
      <c r="N27" s="10" t="n">
        <v>0.08661996000000001</v>
      </c>
      <c r="O27" s="10" t="n">
        <v>0.07507080000000001</v>
      </c>
      <c r="P27" s="10" t="n">
        <v>0.1517836</v>
      </c>
      <c r="Q27" s="11" t="n">
        <v>870.6899400000001</v>
      </c>
      <c r="R27" s="10" t="n">
        <v>0.1517836</v>
      </c>
      <c r="S27" s="10" t="n">
        <v>0.1698784108</v>
      </c>
      <c r="T27" s="10" t="n">
        <v>0.07507080000000001</v>
      </c>
    </row>
    <row r="28">
      <c r="A28" s="12" t="inlineStr">
        <is>
          <t>Day 3</t>
        </is>
      </c>
      <c r="B28" s="12" t="inlineStr">
        <is>
          <t>11:00 - 16:00</t>
        </is>
      </c>
      <c r="C28" s="13" t="inlineStr">
        <is>
          <t>Phase_6_arch</t>
        </is>
      </c>
      <c r="D28" s="12" t="inlineStr">
        <is>
          <t>Arch</t>
        </is>
      </c>
      <c r="E28" s="13" t="inlineStr">
        <is>
          <t>DeepSeek V4 Flash</t>
        </is>
      </c>
      <c r="F28" s="14" t="n">
        <v>73</v>
      </c>
      <c r="G28" s="14" t="n">
        <v>328372</v>
      </c>
      <c r="H28" s="14" t="n">
        <v>30592</v>
      </c>
      <c r="I28" s="14" t="n">
        <v>7181</v>
      </c>
      <c r="J28" s="14" t="n">
        <v>8478720</v>
      </c>
      <c r="K28" s="12" t="inlineStr">
        <is>
          <t>Off-Peak (50%)</t>
        </is>
      </c>
      <c r="L28" s="12" t="inlineStr">
        <is>
          <t>Off-Peak (1x)</t>
        </is>
      </c>
      <c r="M28" s="15" t="n">
        <v>0.1698784108</v>
      </c>
      <c r="N28" s="15" t="n">
        <v>0.08661996000000001</v>
      </c>
      <c r="O28" s="15" t="n">
        <v>0.07507080000000001</v>
      </c>
      <c r="P28" s="15" t="n">
        <v>0.1517836</v>
      </c>
      <c r="Q28" s="16" t="n">
        <v>870.6899400000001</v>
      </c>
      <c r="R28" s="15" t="n">
        <v>0.1517836</v>
      </c>
      <c r="S28" s="15" t="n">
        <v>0.1698784108</v>
      </c>
      <c r="T28" s="15" t="n">
        <v>0.07507080000000001</v>
      </c>
    </row>
    <row r="29">
      <c r="A29" s="7" t="inlineStr">
        <is>
          <t>Day 3</t>
        </is>
      </c>
      <c r="B29" s="7" t="inlineStr">
        <is>
          <t>11:00 - 16:00</t>
        </is>
      </c>
      <c r="C29" s="8" t="inlineStr">
        <is>
          <t>Identify video stitching Python script</t>
        </is>
      </c>
      <c r="D29" s="7" t="inlineStr">
        <is>
          <t>Misc</t>
        </is>
      </c>
      <c r="E29" s="8" t="inlineStr">
        <is>
          <t>DeepSeek V4 Flash</t>
        </is>
      </c>
      <c r="F29" s="9" t="n">
        <v>8</v>
      </c>
      <c r="G29" s="9" t="n">
        <v>54727</v>
      </c>
      <c r="H29" s="9" t="n">
        <v>2472</v>
      </c>
      <c r="I29" s="9" t="n">
        <v>323</v>
      </c>
      <c r="J29" s="9" t="n">
        <v>138240</v>
      </c>
      <c r="K29" s="7" t="inlineStr">
        <is>
          <t>Off-Peak (50%)</t>
        </is>
      </c>
      <c r="L29" s="7" t="inlineStr">
        <is>
          <t>Off-Peak (1x)</t>
        </is>
      </c>
      <c r="M29" s="10" t="n">
        <v>0.0064536913</v>
      </c>
      <c r="N29" s="10" t="n">
        <v>0.005144650000000001</v>
      </c>
      <c r="O29" s="10" t="n">
        <v>0.003143484</v>
      </c>
      <c r="P29" s="10" t="n">
        <v>0.01463914</v>
      </c>
      <c r="Q29" s="11" t="n">
        <v>33.597615</v>
      </c>
      <c r="R29" s="10" t="n">
        <v>0.01463914</v>
      </c>
      <c r="S29" s="10" t="n">
        <v>0.0064536913</v>
      </c>
      <c r="T29" s="10" t="n">
        <v>0.003143484</v>
      </c>
    </row>
    <row r="30">
      <c r="A30" s="12" t="inlineStr">
        <is>
          <t>Day 3</t>
        </is>
      </c>
      <c r="B30" s="12" t="inlineStr">
        <is>
          <t>11:00 - 16:00</t>
        </is>
      </c>
      <c r="C30" s="13" t="inlineStr">
        <is>
          <t>Identify video stitching Python script</t>
        </is>
      </c>
      <c r="D30" s="12" t="inlineStr">
        <is>
          <t>Misc</t>
        </is>
      </c>
      <c r="E30" s="13" t="inlineStr">
        <is>
          <t>GLM 5.3</t>
        </is>
      </c>
      <c r="F30" s="14" t="n">
        <v>8</v>
      </c>
      <c r="G30" s="14" t="n">
        <v>60719</v>
      </c>
      <c r="H30" s="14" t="n">
        <v>2323</v>
      </c>
      <c r="I30" s="14" t="n">
        <v>2131</v>
      </c>
      <c r="J30" s="14" t="n">
        <v>207552</v>
      </c>
      <c r="K30" s="12" t="inlineStr">
        <is>
          <t>Off-Peak (50%)</t>
        </is>
      </c>
      <c r="L30" s="12" t="inlineStr">
        <is>
          <t>Off-Peak (1x)</t>
        </is>
      </c>
      <c r="M30" s="15" t="n">
        <v>0.14919132</v>
      </c>
      <c r="N30" s="15" t="n">
        <v>0.06214254</v>
      </c>
      <c r="O30" s="15" t="n">
        <v>0.08205522600000001</v>
      </c>
      <c r="P30" s="15" t="n">
        <v>0.049240224</v>
      </c>
      <c r="Q30" s="16" t="n">
        <v>41.377575</v>
      </c>
      <c r="R30" s="15" t="n">
        <v>0</v>
      </c>
      <c r="S30" s="15" t="n">
        <v>0</v>
      </c>
      <c r="T30" s="15" t="n">
        <v>0</v>
      </c>
    </row>
    <row r="31">
      <c r="A31" s="7" t="inlineStr">
        <is>
          <t>Day 3</t>
        </is>
      </c>
      <c r="B31" s="7" t="inlineStr">
        <is>
          <t>11:00 - 16:00</t>
        </is>
      </c>
      <c r="C31" s="8" t="inlineStr">
        <is>
          <t>Phase_6_Plan</t>
        </is>
      </c>
      <c r="D31" s="7" t="inlineStr">
        <is>
          <t>Plan</t>
        </is>
      </c>
      <c r="E31" s="8" t="inlineStr">
        <is>
          <t>DeepSeek V4 Pro</t>
        </is>
      </c>
      <c r="F31" s="9" t="n">
        <v>18</v>
      </c>
      <c r="G31" s="9" t="n">
        <v>267467</v>
      </c>
      <c r="H31" s="9" t="n">
        <v>17863</v>
      </c>
      <c r="I31" s="9" t="n">
        <v>2021</v>
      </c>
      <c r="J31" s="9" t="n">
        <v>1040384</v>
      </c>
      <c r="K31" s="7" t="inlineStr">
        <is>
          <t>Off-Peak (50%)</t>
        </is>
      </c>
      <c r="L31" s="7" t="inlineStr">
        <is>
          <t>Off-Peak (1x)</t>
        </is>
      </c>
      <c r="M31" s="10" t="n">
        <v>0.016646423</v>
      </c>
      <c r="N31" s="10" t="n">
        <v>0.089590908</v>
      </c>
      <c r="O31" s="10" t="n">
        <v>0.3286995712</v>
      </c>
      <c r="P31" s="10" t="n">
        <v>0.234785408</v>
      </c>
      <c r="Q31" s="11" t="n">
        <v>202.144355</v>
      </c>
      <c r="R31" s="10" t="n">
        <v>0.234785408</v>
      </c>
      <c r="S31" s="10" t="n">
        <v>0.016646423</v>
      </c>
      <c r="T31" s="10" t="n">
        <v>0.3286995712</v>
      </c>
    </row>
    <row r="32">
      <c r="A32" s="12" t="inlineStr">
        <is>
          <t>Day 3</t>
        </is>
      </c>
      <c r="B32" s="12" t="inlineStr">
        <is>
          <t>11:00 - 16:00</t>
        </is>
      </c>
      <c r="C32" s="13" t="inlineStr">
        <is>
          <t>Phase_6_Code</t>
        </is>
      </c>
      <c r="D32" s="12" t="inlineStr">
        <is>
          <t>Code</t>
        </is>
      </c>
      <c r="E32" s="13" t="inlineStr">
        <is>
          <t>DeepSeek V4 Flash</t>
        </is>
      </c>
      <c r="F32" s="14" t="n">
        <v>33</v>
      </c>
      <c r="G32" s="14" t="n">
        <v>100724</v>
      </c>
      <c r="H32" s="14" t="n">
        <v>8085</v>
      </c>
      <c r="I32" s="14" t="n">
        <v>2829</v>
      </c>
      <c r="J32" s="14" t="n">
        <v>1558784</v>
      </c>
      <c r="K32" s="12" t="inlineStr">
        <is>
          <t>Off-Peak (50%)</t>
        </is>
      </c>
      <c r="L32" s="12" t="inlineStr">
        <is>
          <t>Off-Peak (1x)</t>
        </is>
      </c>
      <c r="M32" s="15" t="n">
        <v>0.0343850108</v>
      </c>
      <c r="N32" s="15" t="n">
        <v>0.019094068</v>
      </c>
      <c r="O32" s="15" t="n">
        <v>0.0154314288</v>
      </c>
      <c r="P32" s="15" t="n">
        <v>0.038406868</v>
      </c>
      <c r="Q32" s="16" t="n">
        <v>176.94842</v>
      </c>
      <c r="R32" s="15" t="n">
        <v>0.038406868</v>
      </c>
      <c r="S32" s="15" t="n">
        <v>0.0343850108</v>
      </c>
      <c r="T32" s="15" t="n">
        <v>0.0154314288</v>
      </c>
    </row>
    <row r="33">
      <c r="A33" s="7" t="inlineStr">
        <is>
          <t>Day 3</t>
        </is>
      </c>
      <c r="B33" s="7" t="inlineStr">
        <is>
          <t>16:00 - 20:00</t>
        </is>
      </c>
      <c r="C33" s="8" t="inlineStr">
        <is>
          <t>Phase_7_Arch</t>
        </is>
      </c>
      <c r="D33" s="7" t="inlineStr">
        <is>
          <t>Arch</t>
        </is>
      </c>
      <c r="E33" s="8" t="inlineStr">
        <is>
          <t>GLM 5.3</t>
        </is>
      </c>
      <c r="F33" s="9" t="n">
        <v>13</v>
      </c>
      <c r="G33" s="9" t="n">
        <v>275683</v>
      </c>
      <c r="H33" s="9" t="n">
        <v>16661</v>
      </c>
      <c r="I33" s="9" t="n">
        <v>30725</v>
      </c>
      <c r="J33" s="9" t="n">
        <v>491584</v>
      </c>
      <c r="K33" s="7" t="inlineStr">
        <is>
          <t>Off-Peak (50%)</t>
        </is>
      </c>
      <c r="L33" s="7" t="inlineStr">
        <is>
          <t>Off-Peak (1x)</t>
        </is>
      </c>
      <c r="M33" s="10" t="n">
        <v>0.5870764399999999</v>
      </c>
      <c r="N33" s="10" t="n">
        <v>0.26404318</v>
      </c>
      <c r="O33" s="10" t="n">
        <v>0.322892042</v>
      </c>
      <c r="P33" s="10" t="n">
        <v>0.225754408</v>
      </c>
      <c r="Q33" s="11" t="n">
        <v>156.888475</v>
      </c>
      <c r="R33" s="10" t="n">
        <v>0</v>
      </c>
      <c r="S33" s="10" t="n">
        <v>0</v>
      </c>
      <c r="T33" s="10" t="n">
        <v>0</v>
      </c>
    </row>
    <row r="34">
      <c r="A34" s="12" t="inlineStr">
        <is>
          <t>Day 3</t>
        </is>
      </c>
      <c r="B34" s="12" t="inlineStr">
        <is>
          <t>16:00 - 20:00</t>
        </is>
      </c>
      <c r="C34" s="13" t="inlineStr">
        <is>
          <t>Phase_7_Plan</t>
        </is>
      </c>
      <c r="D34" s="12" t="inlineStr">
        <is>
          <t>Plan</t>
        </is>
      </c>
      <c r="E34" s="13" t="inlineStr">
        <is>
          <t>DeepSeek V4 Pro</t>
        </is>
      </c>
      <c r="F34" s="14" t="n">
        <v>20</v>
      </c>
      <c r="G34" s="14" t="n">
        <v>262126</v>
      </c>
      <c r="H34" s="14" t="n">
        <v>17721</v>
      </c>
      <c r="I34" s="14" t="n">
        <v>2238</v>
      </c>
      <c r="J34" s="14" t="n">
        <v>1222144</v>
      </c>
      <c r="K34" s="12" t="inlineStr">
        <is>
          <t>Off-Peak (50%)</t>
        </is>
      </c>
      <c r="L34" s="12" t="inlineStr">
        <is>
          <t>Off-Peak (1x)</t>
        </is>
      </c>
      <c r="M34" s="15" t="n">
        <v>0.017747863</v>
      </c>
      <c r="N34" s="15" t="n">
        <v>0.09235212799999999</v>
      </c>
      <c r="O34" s="15" t="n">
        <v>0.3289690712</v>
      </c>
      <c r="P34" s="15" t="n">
        <v>0.234977908</v>
      </c>
      <c r="Q34" s="16" t="n">
        <v>215.58091</v>
      </c>
      <c r="R34" s="15" t="n">
        <v>0.234977908</v>
      </c>
      <c r="S34" s="15" t="n">
        <v>0.017747863</v>
      </c>
      <c r="T34" s="15" t="n">
        <v>0.3289690712</v>
      </c>
    </row>
    <row r="35">
      <c r="A35" s="7" t="inlineStr">
        <is>
          <t>Day 3</t>
        </is>
      </c>
      <c r="B35" s="7" t="inlineStr">
        <is>
          <t>16:00 - 20:00</t>
        </is>
      </c>
      <c r="C35" s="8" t="inlineStr">
        <is>
          <t>Phase_7_Code</t>
        </is>
      </c>
      <c r="D35" s="7" t="inlineStr">
        <is>
          <t>Code</t>
        </is>
      </c>
      <c r="E35" s="8" t="inlineStr">
        <is>
          <t>DeepSeek V4 Flash</t>
        </is>
      </c>
      <c r="F35" s="9" t="n">
        <v>153</v>
      </c>
      <c r="G35" s="9" t="n">
        <v>744713</v>
      </c>
      <c r="H35" s="9" t="n">
        <v>37831</v>
      </c>
      <c r="I35" s="9" t="n">
        <v>19418</v>
      </c>
      <c r="J35" s="9" t="n">
        <v>12563200</v>
      </c>
      <c r="K35" s="7" t="inlineStr">
        <is>
          <t>Off-Peak (50%)</t>
        </is>
      </c>
      <c r="L35" s="7" t="inlineStr">
        <is>
          <t>Off-Peak (1x)</t>
        </is>
      </c>
      <c r="M35" s="10" t="n">
        <v>0.2679833807</v>
      </c>
      <c r="N35" s="10" t="n">
        <v>0.14536865</v>
      </c>
      <c r="O35" s="10" t="n">
        <v>0.11998854</v>
      </c>
      <c r="P35" s="10" t="n">
        <v>0.27674772</v>
      </c>
      <c r="Q35" s="11" t="n">
        <v>1370.195185</v>
      </c>
      <c r="R35" s="10" t="n">
        <v>0.27674772</v>
      </c>
      <c r="S35" s="10" t="n">
        <v>0.2679833807</v>
      </c>
      <c r="T35" s="10" t="n">
        <v>0.11998854</v>
      </c>
    </row>
    <row r="36">
      <c r="A36" s="12" t="inlineStr">
        <is>
          <t>Day 4</t>
        </is>
      </c>
      <c r="B36" s="12" t="inlineStr">
        <is>
          <t>05:00 - 10:00</t>
        </is>
      </c>
      <c r="C36" s="13" t="inlineStr">
        <is>
          <t>Phase_8_Arch</t>
        </is>
      </c>
      <c r="D36" s="12" t="inlineStr">
        <is>
          <t>Arch</t>
        </is>
      </c>
      <c r="E36" s="13" t="inlineStr">
        <is>
          <t>GLM 5.3</t>
        </is>
      </c>
      <c r="F36" s="14" t="n">
        <v>12</v>
      </c>
      <c r="G36" s="14" t="n">
        <v>90765</v>
      </c>
      <c r="H36" s="14" t="n">
        <v>13977</v>
      </c>
      <c r="I36" s="14" t="n">
        <v>15016</v>
      </c>
      <c r="J36" s="14" t="n">
        <v>589440</v>
      </c>
      <c r="K36" s="12" t="inlineStr">
        <is>
          <t>Off-Peak (50%)</t>
        </is>
      </c>
      <c r="L36" s="12" t="inlineStr">
        <is>
          <t>Off-Peak (1x)</t>
        </is>
      </c>
      <c r="M36" s="15" t="n">
        <v>0.3418242</v>
      </c>
      <c r="N36" s="15" t="n">
        <v>0.1355457</v>
      </c>
      <c r="O36" s="15" t="n">
        <v>0.18800331</v>
      </c>
      <c r="P36" s="15" t="n">
        <v>0.10054704</v>
      </c>
      <c r="Q36" s="16" t="n">
        <v>98.18872500000001</v>
      </c>
      <c r="R36" s="15" t="n">
        <v>0</v>
      </c>
      <c r="S36" s="15" t="n">
        <v>0</v>
      </c>
      <c r="T36" s="15" t="n">
        <v>0</v>
      </c>
    </row>
    <row r="37">
      <c r="A37" s="7" t="inlineStr">
        <is>
          <t>Day 4</t>
        </is>
      </c>
      <c r="B37" s="7" t="inlineStr">
        <is>
          <t>05:00 - 10:00</t>
        </is>
      </c>
      <c r="C37" s="8" t="inlineStr">
        <is>
          <t>Phase_8_Plan</t>
        </is>
      </c>
      <c r="D37" s="7" t="inlineStr">
        <is>
          <t>Plan</t>
        </is>
      </c>
      <c r="E37" s="8" t="inlineStr">
        <is>
          <t>DeepSeek V4 Pro</t>
        </is>
      </c>
      <c r="F37" s="9" t="n">
        <v>7</v>
      </c>
      <c r="G37" s="9" t="n">
        <v>139694</v>
      </c>
      <c r="H37" s="9" t="n">
        <v>16447</v>
      </c>
      <c r="I37" s="9" t="n">
        <v>412</v>
      </c>
      <c r="J37" s="9" t="n">
        <v>194560</v>
      </c>
      <c r="K37" s="7" t="inlineStr">
        <is>
          <t>Off-Peak (50%)</t>
        </is>
      </c>
      <c r="L37" s="7" t="inlineStr">
        <is>
          <t>Off-Peak (1x)</t>
        </is>
      </c>
      <c r="M37" s="10" t="n">
        <v>0.006786265</v>
      </c>
      <c r="N37" s="10" t="n">
        <v>0.04224968</v>
      </c>
      <c r="O37" s="10" t="n">
        <v>0.180660788</v>
      </c>
      <c r="P37" s="10" t="n">
        <v>0.12904342</v>
      </c>
      <c r="Q37" s="11" t="n">
        <v>84.46843</v>
      </c>
      <c r="R37" s="10" t="n">
        <v>0.12904342</v>
      </c>
      <c r="S37" s="10" t="n">
        <v>0.006786265</v>
      </c>
      <c r="T37" s="10" t="n">
        <v>0.180660788</v>
      </c>
    </row>
    <row r="38">
      <c r="A38" s="12" t="inlineStr">
        <is>
          <t>Day 4</t>
        </is>
      </c>
      <c r="B38" s="12" t="inlineStr">
        <is>
          <t>05:00 - 10:00</t>
        </is>
      </c>
      <c r="C38" s="13" t="inlineStr">
        <is>
          <t>Phase_8_Code</t>
        </is>
      </c>
      <c r="D38" s="12" t="inlineStr">
        <is>
          <t>Code</t>
        </is>
      </c>
      <c r="E38" s="13" t="inlineStr">
        <is>
          <t>DeepSeek V4 Flash</t>
        </is>
      </c>
      <c r="F38" s="14" t="n">
        <v>66</v>
      </c>
      <c r="G38" s="14" t="n">
        <v>208130</v>
      </c>
      <c r="H38" s="14" t="n">
        <v>14883</v>
      </c>
      <c r="I38" s="14" t="n">
        <v>10993</v>
      </c>
      <c r="J38" s="14" t="n">
        <v>5057792</v>
      </c>
      <c r="K38" s="12" t="inlineStr">
        <is>
          <t>Off-Peak (50%)</t>
        </is>
      </c>
      <c r="L38" s="12" t="inlineStr">
        <is>
          <t>Off-Peak (1x)</t>
        </is>
      </c>
      <c r="M38" s="15" t="n">
        <v>0.1016032766</v>
      </c>
      <c r="N38" s="15" t="n">
        <v>0.05205726400000001</v>
      </c>
      <c r="O38" s="15" t="n">
        <v>0.0449803584</v>
      </c>
      <c r="P38" s="15" t="n">
        <v>0.091015924</v>
      </c>
      <c r="Q38" s="16" t="n">
        <v>519.57677</v>
      </c>
      <c r="R38" s="15" t="n">
        <v>0.091015924</v>
      </c>
      <c r="S38" s="15" t="n">
        <v>0.1016032766</v>
      </c>
      <c r="T38" s="15" t="n">
        <v>0.0449803584</v>
      </c>
    </row>
    <row r="39">
      <c r="A39" s="7" t="inlineStr">
        <is>
          <t>Day 4</t>
        </is>
      </c>
      <c r="B39" s="7" t="inlineStr">
        <is>
          <t>05:00 - 10:00</t>
        </is>
      </c>
      <c r="C39" s="8" t="inlineStr">
        <is>
          <t>Phase 9_Misc</t>
        </is>
      </c>
      <c r="D39" s="7" t="inlineStr">
        <is>
          <t>Misc</t>
        </is>
      </c>
      <c r="E39" s="8" t="inlineStr">
        <is>
          <t>GLM 5.3</t>
        </is>
      </c>
      <c r="F39" s="9" t="n">
        <v>28</v>
      </c>
      <c r="G39" s="9" t="n">
        <v>1389354</v>
      </c>
      <c r="H39" s="9" t="n">
        <v>15613</v>
      </c>
      <c r="I39" s="9" t="n">
        <v>7252</v>
      </c>
      <c r="J39" s="9" t="n">
        <v>4706606</v>
      </c>
      <c r="K39" s="7" t="inlineStr">
        <is>
          <t>Off-Peak (50%)</t>
        </is>
      </c>
      <c r="L39" s="7" t="inlineStr">
        <is>
          <t>Off-Peak (1x)</t>
        </is>
      </c>
      <c r="M39" s="10" t="n">
        <v>3.23751036</v>
      </c>
      <c r="N39" s="10" t="n">
        <v>1.33635882</v>
      </c>
      <c r="O39" s="10" t="n">
        <v>1.780630698</v>
      </c>
      <c r="P39" s="10" t="n">
        <v>1.051432712</v>
      </c>
      <c r="Q39" s="11" t="n">
        <v>898.12424</v>
      </c>
      <c r="R39" s="10" t="n">
        <v>0</v>
      </c>
      <c r="S39" s="10" t="n">
        <v>0</v>
      </c>
      <c r="T39" s="10" t="n">
        <v>0</v>
      </c>
    </row>
    <row r="40">
      <c r="A40" s="12" t="inlineStr">
        <is>
          <t>Day 4</t>
        </is>
      </c>
      <c r="B40" s="12" t="inlineStr">
        <is>
          <t>05:00 - 10:00</t>
        </is>
      </c>
      <c r="C40" s="13" t="inlineStr">
        <is>
          <t>Phase 9_Misc</t>
        </is>
      </c>
      <c r="D40" s="12" t="inlineStr">
        <is>
          <t>Misc</t>
        </is>
      </c>
      <c r="E40" s="13" t="inlineStr">
        <is>
          <t>GLM 5.3</t>
        </is>
      </c>
      <c r="F40" s="14" t="n">
        <v>118</v>
      </c>
      <c r="G40" s="14" t="n">
        <v>599558</v>
      </c>
      <c r="H40" s="14" t="n">
        <v>59393</v>
      </c>
      <c r="I40" s="14" t="n">
        <v>44480</v>
      </c>
      <c r="J40" s="14" t="n">
        <v>13045696</v>
      </c>
      <c r="K40" s="12" t="inlineStr">
        <is>
          <t>Off-Peak (50%)</t>
        </is>
      </c>
      <c r="L40" s="12" t="inlineStr">
        <is>
          <t>Off-Peak (1x)</t>
        </is>
      </c>
      <c r="M40" s="15" t="n">
        <v>4.49259136</v>
      </c>
      <c r="N40" s="15" t="n">
        <v>1.46355392</v>
      </c>
      <c r="O40" s="15" t="n">
        <v>2.470925247999999</v>
      </c>
      <c r="P40" s="15" t="n">
        <v>0.8003117320000001</v>
      </c>
      <c r="Q40" s="16" t="n">
        <v>1387.00327</v>
      </c>
      <c r="R40" s="15" t="n">
        <v>0.2211764648086006</v>
      </c>
      <c r="S40" s="15" t="n">
        <v>1.241585541113201</v>
      </c>
      <c r="T40" s="15" t="n">
        <v>0.6828720476122604</v>
      </c>
    </row>
    <row r="41">
      <c r="A41" s="7" t="inlineStr">
        <is>
          <t>Day 4</t>
        </is>
      </c>
      <c r="B41" s="7" t="inlineStr">
        <is>
          <t>10:00 - 15:00</t>
        </is>
      </c>
      <c r="C41" s="8" t="inlineStr">
        <is>
          <t>Phase_9_Plan</t>
        </is>
      </c>
      <c r="D41" s="7" t="inlineStr">
        <is>
          <t>Plan</t>
        </is>
      </c>
      <c r="E41" s="8" t="inlineStr">
        <is>
          <t>DeepSeek V4 Pro</t>
        </is>
      </c>
      <c r="F41" s="9" t="n">
        <v>7</v>
      </c>
      <c r="G41" s="9" t="n">
        <v>129368</v>
      </c>
      <c r="H41" s="9" t="n">
        <v>7617</v>
      </c>
      <c r="I41" s="9" t="n">
        <v>1918</v>
      </c>
      <c r="J41" s="9" t="n">
        <v>207360</v>
      </c>
      <c r="K41" s="7" t="inlineStr">
        <is>
          <t>Off-Peak (50%)</t>
        </is>
      </c>
      <c r="L41" s="7" t="inlineStr">
        <is>
          <t>PEAK (2x)</t>
        </is>
      </c>
      <c r="M41" s="10" t="n">
        <v>0.005903834999999999</v>
      </c>
      <c r="N41" s="10" t="n">
        <v>0.03637436</v>
      </c>
      <c r="O41" s="10" t="n">
        <v>0.147037044</v>
      </c>
      <c r="P41" s="10" t="n">
        <v>0.21005292</v>
      </c>
      <c r="Q41" s="11" t="n">
        <v>71.39796000000001</v>
      </c>
      <c r="R41" s="10" t="n">
        <v>0.21005292</v>
      </c>
      <c r="S41" s="10" t="n">
        <v>0.005903834999999999</v>
      </c>
      <c r="T41" s="10" t="n">
        <v>0.147037044</v>
      </c>
    </row>
    <row r="42">
      <c r="A42" s="12" t="inlineStr">
        <is>
          <t>Day 4</t>
        </is>
      </c>
      <c r="B42" s="12" t="inlineStr">
        <is>
          <t>10:00 - 15:00</t>
        </is>
      </c>
      <c r="C42" s="13" t="inlineStr">
        <is>
          <t>Phase_9_9.0</t>
        </is>
      </c>
      <c r="D42" s="12" t="inlineStr">
        <is>
          <t>Misc</t>
        </is>
      </c>
      <c r="E42" s="13" t="inlineStr">
        <is>
          <t>GLM 5.3</t>
        </is>
      </c>
      <c r="F42" s="14" t="n">
        <v>119</v>
      </c>
      <c r="G42" s="14" t="n">
        <v>879028</v>
      </c>
      <c r="H42" s="14" t="n">
        <v>67818</v>
      </c>
      <c r="I42" s="14" t="n">
        <v>18091</v>
      </c>
      <c r="J42" s="14" t="n">
        <v>9586944</v>
      </c>
      <c r="K42" s="12" t="inlineStr">
        <is>
          <t>Off-Peak (50%)</t>
        </is>
      </c>
      <c r="L42" s="12" t="inlineStr">
        <is>
          <t>PEAK (2x)</t>
        </is>
      </c>
      <c r="M42" s="15" t="n">
        <v>4.021643839999999</v>
      </c>
      <c r="N42" s="15" t="n">
        <v>1.43560528</v>
      </c>
      <c r="O42" s="15" t="n">
        <v>2.211904112</v>
      </c>
      <c r="P42" s="15" t="n">
        <v>1.850701776</v>
      </c>
      <c r="Q42" s="16" t="n">
        <v>1199.5365</v>
      </c>
      <c r="R42" s="15" t="n">
        <v>0</v>
      </c>
      <c r="S42" s="15" t="n">
        <v>0</v>
      </c>
      <c r="T42" s="15" t="n">
        <v>0</v>
      </c>
    </row>
    <row r="43">
      <c r="A43" s="7" t="inlineStr">
        <is>
          <t>Day 4</t>
        </is>
      </c>
      <c r="B43" s="7" t="inlineStr">
        <is>
          <t>10:00 - 15:00</t>
        </is>
      </c>
      <c r="C43" s="8" t="inlineStr">
        <is>
          <t>Phase_9_QA</t>
        </is>
      </c>
      <c r="D43" s="7" t="inlineStr">
        <is>
          <t>Misc</t>
        </is>
      </c>
      <c r="E43" s="8" t="inlineStr">
        <is>
          <t>GLM 5.3</t>
        </is>
      </c>
      <c r="F43" s="9" t="n">
        <v>7</v>
      </c>
      <c r="G43" s="9" t="n">
        <v>84760</v>
      </c>
      <c r="H43" s="9" t="n">
        <v>7398</v>
      </c>
      <c r="I43" s="9" t="n">
        <v>20840</v>
      </c>
      <c r="J43" s="9" t="n">
        <v>194752</v>
      </c>
      <c r="K43" s="7" t="inlineStr">
        <is>
          <t>Off-Peak (50%)</t>
        </is>
      </c>
      <c r="L43" s="7" t="inlineStr">
        <is>
          <t>PEAK (2x)</t>
        </is>
      </c>
      <c r="M43" s="10" t="n">
        <v>0.20185072</v>
      </c>
      <c r="N43" s="10" t="n">
        <v>0.08924023999999998</v>
      </c>
      <c r="O43" s="10" t="n">
        <v>0.111017896</v>
      </c>
      <c r="P43" s="10" t="n">
        <v>0.149748368</v>
      </c>
      <c r="Q43" s="11" t="n">
        <v>54.67372</v>
      </c>
      <c r="R43" s="10" t="n">
        <v>0</v>
      </c>
      <c r="S43" s="10" t="n">
        <v>0</v>
      </c>
      <c r="T43" s="10" t="n">
        <v>0</v>
      </c>
    </row>
    <row r="44">
      <c r="A44" s="12" t="inlineStr">
        <is>
          <t>Day 4</t>
        </is>
      </c>
      <c r="B44" s="12" t="inlineStr">
        <is>
          <t>10:00 - 15:00</t>
        </is>
      </c>
      <c r="C44" s="13" t="inlineStr">
        <is>
          <t>Phase_9 9 9.1</t>
        </is>
      </c>
      <c r="D44" s="12" t="inlineStr">
        <is>
          <t>Misc</t>
        </is>
      </c>
      <c r="E44" s="13" t="inlineStr">
        <is>
          <t>GLM 5.3</t>
        </is>
      </c>
      <c r="F44" s="14" t="n">
        <v>12</v>
      </c>
      <c r="G44" s="14" t="n">
        <v>416403</v>
      </c>
      <c r="H44" s="14" t="n">
        <v>3656</v>
      </c>
      <c r="I44" s="14" t="n">
        <v>9988</v>
      </c>
      <c r="J44" s="14" t="n">
        <v>2076928</v>
      </c>
      <c r="K44" s="12" t="inlineStr">
        <is>
          <t>Off-Peak (50%)</t>
        </is>
      </c>
      <c r="L44" s="12" t="inlineStr">
        <is>
          <t>PEAK (2x)</t>
        </is>
      </c>
      <c r="M44" s="15" t="n">
        <v>1.13905188</v>
      </c>
      <c r="N44" s="15" t="n">
        <v>0.44491026</v>
      </c>
      <c r="O44" s="15" t="n">
        <v>0.626478534</v>
      </c>
      <c r="P44" s="15" t="n">
        <v>0.6555145520000002</v>
      </c>
      <c r="Q44" s="16" t="n">
        <v>324.585115</v>
      </c>
      <c r="R44" s="15" t="n">
        <v>0</v>
      </c>
      <c r="S44" s="15" t="n">
        <v>0</v>
      </c>
      <c r="T44" s="15" t="n">
        <v>0</v>
      </c>
    </row>
    <row r="45">
      <c r="A45" s="7" t="inlineStr">
        <is>
          <t>Day 4</t>
        </is>
      </c>
      <c r="B45" s="7" t="inlineStr">
        <is>
          <t>10:00 - 15:00</t>
        </is>
      </c>
      <c r="C45" s="8" t="inlineStr">
        <is>
          <t>Phase_9 9 9.1</t>
        </is>
      </c>
      <c r="D45" s="7" t="inlineStr">
        <is>
          <t>Misc</t>
        </is>
      </c>
      <c r="E45" s="8" t="inlineStr">
        <is>
          <t>GLM 5.3</t>
        </is>
      </c>
      <c r="F45" s="9" t="n">
        <v>5</v>
      </c>
      <c r="G45" s="9" t="n">
        <v>179635</v>
      </c>
      <c r="H45" s="9" t="n">
        <v>1763</v>
      </c>
      <c r="I45" s="9" t="n">
        <v>155</v>
      </c>
      <c r="J45" s="9" t="n">
        <v>712512</v>
      </c>
      <c r="K45" s="7" t="inlineStr">
        <is>
          <t>Off-Peak (50%)</t>
        </is>
      </c>
      <c r="L45" s="7" t="inlineStr">
        <is>
          <t>PEAK (2x)</t>
        </is>
      </c>
      <c r="M45" s="10" t="n">
        <v>0.44449932</v>
      </c>
      <c r="N45" s="10" t="n">
        <v>0.17949894</v>
      </c>
      <c r="O45" s="10" t="n">
        <v>0.244474626</v>
      </c>
      <c r="P45" s="10" t="n">
        <v>0.275450208</v>
      </c>
      <c r="Q45" s="11" t="n">
        <v>124.653195</v>
      </c>
      <c r="R45" s="10" t="n">
        <v>0</v>
      </c>
      <c r="S45" s="10" t="n">
        <v>0</v>
      </c>
      <c r="T45" s="10" t="n">
        <v>0</v>
      </c>
    </row>
    <row r="46">
      <c r="A46" s="12" t="inlineStr">
        <is>
          <t>Day 4</t>
        </is>
      </c>
      <c r="B46" s="12" t="inlineStr">
        <is>
          <t>10:00 - 15:00</t>
        </is>
      </c>
      <c r="C46" s="13" t="inlineStr">
        <is>
          <t>Phase_9 9 9.1</t>
        </is>
      </c>
      <c r="D46" s="12" t="inlineStr">
        <is>
          <t>Misc</t>
        </is>
      </c>
      <c r="E46" s="13" t="inlineStr">
        <is>
          <t>DeepSeek V4 Flash</t>
        </is>
      </c>
      <c r="F46" s="14" t="n">
        <v>8</v>
      </c>
      <c r="G46" s="14" t="n">
        <v>1516579</v>
      </c>
      <c r="H46" s="14" t="n">
        <v>1329</v>
      </c>
      <c r="I46" s="14" t="n">
        <v>4817</v>
      </c>
      <c r="J46" s="14" t="n">
        <v>216832</v>
      </c>
      <c r="K46" s="12" t="inlineStr">
        <is>
          <t>Off-Peak (50%)</t>
        </is>
      </c>
      <c r="L46" s="12" t="inlineStr">
        <is>
          <t>PEAK (2x)</t>
        </is>
      </c>
      <c r="M46" s="15" t="n">
        <v>0.1068417637</v>
      </c>
      <c r="N46" s="15" t="n">
        <v>0.107864414</v>
      </c>
      <c r="O46" s="15" t="n">
        <v>0.0562537224</v>
      </c>
      <c r="P46" s="15" t="n">
        <v>0.6720846880000001</v>
      </c>
      <c r="Q46" s="16" t="n">
        <v>543.245275</v>
      </c>
      <c r="R46" s="15" t="n">
        <v>0.6720846880000001</v>
      </c>
      <c r="S46" s="15" t="n">
        <v>0.1068417637</v>
      </c>
      <c r="T46" s="15" t="n">
        <v>0.0562537224</v>
      </c>
    </row>
    <row r="47">
      <c r="A47" s="7" t="inlineStr">
        <is>
          <t>Day 4</t>
        </is>
      </c>
      <c r="B47" s="7" t="inlineStr">
        <is>
          <t>15:00 - 20:00</t>
        </is>
      </c>
      <c r="C47" s="8" t="inlineStr">
        <is>
          <t>Phase_9 9 9.1</t>
        </is>
      </c>
      <c r="D47" s="7" t="inlineStr">
        <is>
          <t>Misc</t>
        </is>
      </c>
      <c r="E47" s="8" t="inlineStr">
        <is>
          <t>GLM 5.3</t>
        </is>
      </c>
      <c r="F47" s="9" t="n">
        <v>133</v>
      </c>
      <c r="G47" s="9" t="n">
        <v>322957</v>
      </c>
      <c r="H47" s="9" t="n">
        <v>37060</v>
      </c>
      <c r="I47" s="9" t="n">
        <v>62413</v>
      </c>
      <c r="J47" s="9" t="n">
        <v>9826944</v>
      </c>
      <c r="K47" s="7" t="inlineStr">
        <is>
          <t>Off-Peak (50%)</t>
        </is>
      </c>
      <c r="L47" s="7" t="inlineStr">
        <is>
          <t>Off-Peak (1x)</t>
        </is>
      </c>
      <c r="M47" s="10" t="n">
        <v>3.17020924</v>
      </c>
      <c r="N47" s="10" t="n">
        <v>0.9954879800000001</v>
      </c>
      <c r="O47" s="10" t="n">
        <v>1.743615082</v>
      </c>
      <c r="P47" s="10" t="n">
        <v>0.502723188</v>
      </c>
      <c r="Q47" s="11" t="n">
        <v>991.1824049999999</v>
      </c>
      <c r="R47" s="10" t="n">
        <v>0</v>
      </c>
      <c r="S47" s="10" t="n">
        <v>0</v>
      </c>
      <c r="T47" s="10" t="n">
        <v>0</v>
      </c>
    </row>
    <row r="48">
      <c r="A48" s="12" t="inlineStr">
        <is>
          <t>Day 4</t>
        </is>
      </c>
      <c r="B48" s="12" t="inlineStr">
        <is>
          <t>15:00 - 20:00</t>
        </is>
      </c>
      <c r="C48" s="13" t="inlineStr">
        <is>
          <t>Phase_9 9 9.1</t>
        </is>
      </c>
      <c r="D48" s="12" t="inlineStr">
        <is>
          <t>Misc</t>
        </is>
      </c>
      <c r="E48" s="13" t="inlineStr">
        <is>
          <t>DeepSeek V4 Flash</t>
        </is>
      </c>
      <c r="F48" s="14" t="n">
        <v>13</v>
      </c>
      <c r="G48" s="14" t="n">
        <v>124872</v>
      </c>
      <c r="H48" s="14" t="n">
        <v>2015</v>
      </c>
      <c r="I48" s="14" t="n">
        <v>516</v>
      </c>
      <c r="J48" s="14" t="n">
        <v>127936</v>
      </c>
      <c r="K48" s="12" t="inlineStr">
        <is>
          <t>Off-Peak (50%)</t>
        </is>
      </c>
      <c r="L48" s="12" t="inlineStr">
        <is>
          <t>Off-Peak (1x)</t>
        </is>
      </c>
      <c r="M48" s="15" t="n">
        <v>0.0109666536</v>
      </c>
      <c r="N48" s="15" t="n">
        <v>0.009918692000000002</v>
      </c>
      <c r="O48" s="15" t="n">
        <v>0.005561611199999999</v>
      </c>
      <c r="P48" s="15" t="n">
        <v>0.029697292</v>
      </c>
      <c r="Q48" s="16" t="n">
        <v>56.3734</v>
      </c>
      <c r="R48" s="15" t="n">
        <v>0.029697292</v>
      </c>
      <c r="S48" s="15" t="n">
        <v>0.0109666536</v>
      </c>
      <c r="T48" s="15" t="n">
        <v>0.005561611199999999</v>
      </c>
    </row>
    <row r="49">
      <c r="A49" s="7" t="inlineStr">
        <is>
          <t>Day 4</t>
        </is>
      </c>
      <c r="B49" s="7" t="inlineStr">
        <is>
          <t>15:00 - 20:00</t>
        </is>
      </c>
      <c r="C49" s="8" t="inlineStr">
        <is>
          <t>Phase_9 9 9.2</t>
        </is>
      </c>
      <c r="D49" s="7" t="inlineStr">
        <is>
          <t>Misc</t>
        </is>
      </c>
      <c r="E49" s="8" t="inlineStr">
        <is>
          <t>GLM 5.3</t>
        </is>
      </c>
      <c r="F49" s="9" t="n">
        <v>80</v>
      </c>
      <c r="G49" s="9" t="n">
        <v>461913</v>
      </c>
      <c r="H49" s="9" t="n">
        <v>31196</v>
      </c>
      <c r="I49" s="9" t="n">
        <v>27112</v>
      </c>
      <c r="J49" s="9" t="n">
        <v>10191872</v>
      </c>
      <c r="K49" s="7" t="inlineStr">
        <is>
          <t>Off-Peak (50%)</t>
        </is>
      </c>
      <c r="L49" s="7" t="inlineStr">
        <is>
          <t>Off-Peak (1x)</t>
        </is>
      </c>
      <c r="M49" s="10" t="n">
        <v>3.43382732</v>
      </c>
      <c r="N49" s="10" t="n">
        <v>1.10540134</v>
      </c>
      <c r="O49" s="10" t="n">
        <v>1.888605026</v>
      </c>
      <c r="P49" s="10" t="n">
        <v>0.590851844</v>
      </c>
      <c r="Q49" s="11" t="n">
        <v>1063.104305</v>
      </c>
      <c r="R49" s="10" t="n">
        <v>0.03017145406836923</v>
      </c>
      <c r="S49" s="10" t="n">
        <v>0.1753460944840369</v>
      </c>
      <c r="T49" s="10" t="n">
        <v>0.09644035196622028</v>
      </c>
    </row>
    <row r="50">
      <c r="A50" s="12" t="inlineStr">
        <is>
          <t>Day 4</t>
        </is>
      </c>
      <c r="B50" s="12" t="inlineStr">
        <is>
          <t>15:00 - 20:00</t>
        </is>
      </c>
      <c r="C50" s="13" t="inlineStr">
        <is>
          <t>Phase_9 9 9.3</t>
        </is>
      </c>
      <c r="D50" s="12" t="inlineStr">
        <is>
          <t>Misc</t>
        </is>
      </c>
      <c r="E50" s="13" t="inlineStr">
        <is>
          <t>GLM 5.3</t>
        </is>
      </c>
      <c r="F50" s="14" t="n">
        <v>10</v>
      </c>
      <c r="G50" s="14" t="n">
        <v>32241</v>
      </c>
      <c r="H50" s="14" t="n">
        <v>2267</v>
      </c>
      <c r="I50" s="14" t="n">
        <v>11978</v>
      </c>
      <c r="J50" s="14" t="n">
        <v>252864</v>
      </c>
      <c r="K50" s="12" t="inlineStr">
        <is>
          <t>Off-Peak (50%)</t>
        </is>
      </c>
      <c r="L50" s="12" t="inlineStr">
        <is>
          <t>Off-Peak (1x)</t>
        </is>
      </c>
      <c r="M50" s="15" t="n">
        <v>0.12085684</v>
      </c>
      <c r="N50" s="15" t="n">
        <v>0.04525658</v>
      </c>
      <c r="O50" s="15" t="n">
        <v>0.06647126199999999</v>
      </c>
      <c r="P50" s="15" t="n">
        <v>0.031330728</v>
      </c>
      <c r="Q50" s="16" t="n">
        <v>35.336985</v>
      </c>
      <c r="R50" s="15" t="n">
        <v>0.031330728</v>
      </c>
      <c r="S50" s="15" t="n">
        <v>0.12085684</v>
      </c>
      <c r="T50" s="15" t="n">
        <v>0.06647126199999999</v>
      </c>
    </row>
    <row r="51">
      <c r="A51" s="7" t="inlineStr">
        <is>
          <t>Day 4</t>
        </is>
      </c>
      <c r="B51" s="7" t="inlineStr">
        <is>
          <t>15:00 - 20:00</t>
        </is>
      </c>
      <c r="C51" s="8" t="inlineStr">
        <is>
          <t>Phase_9_9.4</t>
        </is>
      </c>
      <c r="D51" s="7" t="inlineStr">
        <is>
          <t>Misc</t>
        </is>
      </c>
      <c r="E51" s="8" t="inlineStr">
        <is>
          <t>GLM 5.3</t>
        </is>
      </c>
      <c r="F51" s="9" t="n">
        <v>36</v>
      </c>
      <c r="G51" s="9" t="n">
        <v>112315</v>
      </c>
      <c r="H51" s="9" t="n">
        <v>9970</v>
      </c>
      <c r="I51" s="9" t="n">
        <v>23337</v>
      </c>
      <c r="J51" s="9" t="n">
        <v>1128320</v>
      </c>
      <c r="K51" s="7" t="inlineStr">
        <is>
          <t>Off-Peak (50%)</t>
        </is>
      </c>
      <c r="L51" s="7" t="inlineStr">
        <is>
          <t>Off-Peak (1x)</t>
        </is>
      </c>
      <c r="M51" s="10" t="n">
        <v>0.4944722</v>
      </c>
      <c r="N51" s="10" t="n">
        <v>0.1795369</v>
      </c>
      <c r="O51" s="10" t="n">
        <v>0.27195971</v>
      </c>
      <c r="P51" s="10" t="n">
        <v>0.11869154</v>
      </c>
      <c r="Q51" s="11" t="n">
        <v>146.619875</v>
      </c>
      <c r="R51" s="10" t="n">
        <v>0.11869154</v>
      </c>
      <c r="S51" s="10" t="n">
        <v>0.4944722</v>
      </c>
      <c r="T51" s="10" t="n">
        <v>0.27195971</v>
      </c>
    </row>
    <row r="52">
      <c r="A52" s="12" t="inlineStr">
        <is>
          <t>Day 4</t>
        </is>
      </c>
      <c r="B52" s="12" t="inlineStr">
        <is>
          <t>20:01 - 01:00</t>
        </is>
      </c>
      <c r="C52" s="13" t="inlineStr">
        <is>
          <t>Phase_9_QNA</t>
        </is>
      </c>
      <c r="D52" s="12" t="inlineStr">
        <is>
          <t>Misc</t>
        </is>
      </c>
      <c r="E52" s="13" t="inlineStr">
        <is>
          <t>DeepSeek V4 Flash</t>
        </is>
      </c>
      <c r="F52" s="14" t="n">
        <v>4</v>
      </c>
      <c r="G52" s="14" t="n">
        <v>75819</v>
      </c>
      <c r="H52" s="14" t="n">
        <v>806</v>
      </c>
      <c r="I52" s="14" t="n">
        <v>1494</v>
      </c>
      <c r="J52" s="14" t="n">
        <v>203520</v>
      </c>
      <c r="K52" s="12" t="inlineStr">
        <is>
          <t>Off-Peak (50%)</t>
        </is>
      </c>
      <c r="L52" s="12" t="inlineStr">
        <is>
          <t>Off-Peak (1x)</t>
        </is>
      </c>
      <c r="M52" s="15" t="n">
        <v>0.0087026541</v>
      </c>
      <c r="N52" s="15" t="n">
        <v>0.006844810000000002</v>
      </c>
      <c r="O52" s="15" t="n">
        <v>0.004252860000000001</v>
      </c>
      <c r="P52" s="15" t="n">
        <v>0.01863678</v>
      </c>
      <c r="Q52" s="16" t="n">
        <v>44.42395500000001</v>
      </c>
      <c r="R52" s="15" t="n">
        <v>0.01863678</v>
      </c>
      <c r="S52" s="15" t="n">
        <v>0.0087026541</v>
      </c>
      <c r="T52" s="15" t="n">
        <v>0.004252860000000001</v>
      </c>
    </row>
    <row r="53">
      <c r="A53" s="7" t="inlineStr">
        <is>
          <t>Day 4</t>
        </is>
      </c>
      <c r="B53" s="7" t="inlineStr">
        <is>
          <t>20:01 - 01:00</t>
        </is>
      </c>
      <c r="C53" s="8" t="inlineStr">
        <is>
          <t>Phase_9_QNA</t>
        </is>
      </c>
      <c r="D53" s="7" t="inlineStr">
        <is>
          <t>Misc</t>
        </is>
      </c>
      <c r="E53" s="8" t="inlineStr">
        <is>
          <t>GLM 5.3</t>
        </is>
      </c>
      <c r="F53" s="9" t="n">
        <v>30</v>
      </c>
      <c r="G53" s="9" t="n">
        <v>69778</v>
      </c>
      <c r="H53" s="9" t="n">
        <v>11914</v>
      </c>
      <c r="I53" s="9" t="n">
        <v>18048</v>
      </c>
      <c r="J53" s="9" t="n">
        <v>936512</v>
      </c>
      <c r="K53" s="7" t="inlineStr">
        <is>
          <t>Off-Peak (50%)</t>
        </is>
      </c>
      <c r="L53" s="7" t="inlineStr">
        <is>
          <t>Off-Peak (1x)</t>
        </is>
      </c>
      <c r="M53" s="10" t="n">
        <v>0.39360392</v>
      </c>
      <c r="N53" s="10" t="n">
        <v>0.14061124</v>
      </c>
      <c r="O53" s="10" t="n">
        <v>0.216482156</v>
      </c>
      <c r="P53" s="10" t="n">
        <v>0.09024646400000001</v>
      </c>
      <c r="Q53" s="11" t="n">
        <v>117.97373</v>
      </c>
      <c r="R53" s="10" t="n">
        <v>0</v>
      </c>
      <c r="S53" s="10" t="n">
        <v>0</v>
      </c>
      <c r="T53" s="10" t="n">
        <v>0</v>
      </c>
    </row>
    <row r="54">
      <c r="A54" s="12" t="inlineStr">
        <is>
          <t>Day 4</t>
        </is>
      </c>
      <c r="B54" s="12" t="inlineStr">
        <is>
          <t>20:01 - 01:00</t>
        </is>
      </c>
      <c r="C54" s="13" t="inlineStr">
        <is>
          <t>Phase 9.5 9.5</t>
        </is>
      </c>
      <c r="D54" s="12" t="inlineStr">
        <is>
          <t>Misc</t>
        </is>
      </c>
      <c r="E54" s="13" t="inlineStr">
        <is>
          <t>DeepSeek V4 Flash</t>
        </is>
      </c>
      <c r="F54" s="14" t="n">
        <v>10</v>
      </c>
      <c r="G54" s="14" t="n">
        <v>544692</v>
      </c>
      <c r="H54" s="14" t="n">
        <v>2694</v>
      </c>
      <c r="I54" s="14" t="n">
        <v>3827</v>
      </c>
      <c r="J54" s="14" t="n">
        <v>224512</v>
      </c>
      <c r="K54" s="12" t="inlineStr">
        <is>
          <t>Off-Peak (50%)</t>
        </is>
      </c>
      <c r="L54" s="12" t="inlineStr">
        <is>
          <t>Off-Peak (1x)</t>
        </is>
      </c>
      <c r="M54" s="15" t="n">
        <v>0.0412089804</v>
      </c>
      <c r="N54" s="15" t="n">
        <v>0.04007718400000001</v>
      </c>
      <c r="O54" s="15" t="n">
        <v>0.0214193664</v>
      </c>
      <c r="P54" s="15" t="n">
        <v>0.123181864</v>
      </c>
      <c r="Q54" s="16" t="n">
        <v>210.23506</v>
      </c>
      <c r="R54" s="15" t="n">
        <v>0.123181864</v>
      </c>
      <c r="S54" s="15" t="n">
        <v>0.0412089804</v>
      </c>
      <c r="T54" s="15" t="n">
        <v>0.0214193664</v>
      </c>
    </row>
    <row r="55">
      <c r="A55" s="7" t="inlineStr">
        <is>
          <t>Day 4</t>
        </is>
      </c>
      <c r="B55" s="7" t="inlineStr">
        <is>
          <t>20:01 - 01:00</t>
        </is>
      </c>
      <c r="C55" s="8" t="inlineStr">
        <is>
          <t>Phase 9.5 9.5</t>
        </is>
      </c>
      <c r="D55" s="7" t="inlineStr">
        <is>
          <t>Misc</t>
        </is>
      </c>
      <c r="E55" s="8" t="inlineStr">
        <is>
          <t>GLM 5.3</t>
        </is>
      </c>
      <c r="F55" s="9" t="n">
        <v>20</v>
      </c>
      <c r="G55" s="9" t="n">
        <v>91301</v>
      </c>
      <c r="H55" s="9" t="n">
        <v>7351</v>
      </c>
      <c r="I55" s="9" t="n">
        <v>18236</v>
      </c>
      <c r="J55" s="9" t="n">
        <v>787584</v>
      </c>
      <c r="K55" s="7" t="inlineStr">
        <is>
          <t>Off-Peak (50%)</t>
        </is>
      </c>
      <c r="L55" s="7" t="inlineStr">
        <is>
          <t>Off-Peak (1x)</t>
        </is>
      </c>
      <c r="M55" s="10" t="n">
        <v>0.36493764</v>
      </c>
      <c r="N55" s="10" t="n">
        <v>0.13521378</v>
      </c>
      <c r="O55" s="10" t="n">
        <v>0.200715702</v>
      </c>
      <c r="P55" s="10" t="n">
        <v>0.09214048799999999</v>
      </c>
      <c r="Q55" s="11" t="n">
        <v>107.264685</v>
      </c>
      <c r="R55" s="10" t="n">
        <v>0</v>
      </c>
      <c r="S55" s="10" t="n">
        <v>0</v>
      </c>
      <c r="T55" s="10" t="n">
        <v>0</v>
      </c>
    </row>
    <row r="56">
      <c r="A56" s="12" t="inlineStr">
        <is>
          <t>Day 4</t>
        </is>
      </c>
      <c r="B56" s="12" t="inlineStr">
        <is>
          <t>20:01 - 01:00</t>
        </is>
      </c>
      <c r="C56" s="13" t="inlineStr">
        <is>
          <t>Phase 9.5 9.5</t>
        </is>
      </c>
      <c r="D56" s="12" t="inlineStr">
        <is>
          <t>Misc</t>
        </is>
      </c>
      <c r="E56" s="13" t="inlineStr">
        <is>
          <t>DeepSeek V4 Flash</t>
        </is>
      </c>
      <c r="F56" s="14" t="n">
        <v>8</v>
      </c>
      <c r="G56" s="14" t="n">
        <v>41655</v>
      </c>
      <c r="H56" s="14" t="n">
        <v>848</v>
      </c>
      <c r="I56" s="14" t="n">
        <v>181</v>
      </c>
      <c r="J56" s="14" t="n">
        <v>69400</v>
      </c>
      <c r="K56" s="12" t="inlineStr">
        <is>
          <t>Off-Peak (50%)</t>
        </is>
      </c>
      <c r="L56" s="12" t="inlineStr">
        <is>
          <t>Off-Peak (1x)</t>
        </is>
      </c>
      <c r="M56" s="15" t="n">
        <v>0.0041367585</v>
      </c>
      <c r="N56" s="15" t="n">
        <v>0.003520370000000001</v>
      </c>
      <c r="O56" s="15" t="n">
        <v>0.002060316</v>
      </c>
      <c r="P56" s="15" t="n">
        <v>0.01020958</v>
      </c>
      <c r="Q56" s="16" t="n">
        <v>21.287575</v>
      </c>
      <c r="R56" s="15" t="n">
        <v>0.01020958</v>
      </c>
      <c r="S56" s="15" t="n">
        <v>0.0041367585</v>
      </c>
      <c r="T56" s="15" t="n">
        <v>0.002060316</v>
      </c>
    </row>
    <row r="57">
      <c r="A57" s="7" t="inlineStr">
        <is>
          <t>Day 5</t>
        </is>
      </c>
      <c r="B57" s="7" t="inlineStr">
        <is>
          <t>05:01 - 10:00</t>
        </is>
      </c>
      <c r="C57" s="8" t="inlineStr">
        <is>
          <t>Phase_9_9.6</t>
        </is>
      </c>
      <c r="D57" s="7" t="inlineStr">
        <is>
          <t>Misc</t>
        </is>
      </c>
      <c r="E57" s="8" t="inlineStr">
        <is>
          <t>GLM 5.3</t>
        </is>
      </c>
      <c r="F57" s="9" t="n">
        <v>80</v>
      </c>
      <c r="G57" s="9" t="n">
        <v>170481</v>
      </c>
      <c r="H57" s="9" t="n">
        <v>26277</v>
      </c>
      <c r="I57" s="9" t="n">
        <v>49666</v>
      </c>
      <c r="J57" s="9" t="n">
        <v>5428800</v>
      </c>
      <c r="K57" s="7" t="inlineStr">
        <is>
          <t>Off-Peak (50%)</t>
        </is>
      </c>
      <c r="L57" s="7" t="inlineStr">
        <is>
          <t>Off-Peak (1x)</t>
        </is>
      </c>
      <c r="M57" s="10" t="n">
        <v>1.7657802</v>
      </c>
      <c r="N57" s="10" t="n">
        <v>0.5571621000000001</v>
      </c>
      <c r="O57" s="10" t="n">
        <v>0.9711791099999999</v>
      </c>
      <c r="P57" s="10" t="n">
        <v>0.28397952</v>
      </c>
      <c r="Q57" s="11" t="n">
        <v>551.796345</v>
      </c>
      <c r="R57" s="10" t="n">
        <v>0</v>
      </c>
      <c r="S57" s="10" t="n">
        <v>0</v>
      </c>
      <c r="T57" s="10" t="n">
        <v>0</v>
      </c>
    </row>
    <row r="58">
      <c r="A58" s="12" t="inlineStr">
        <is>
          <t>Day 5</t>
        </is>
      </c>
      <c r="B58" s="12" t="inlineStr">
        <is>
          <t>05:01 - 10:00</t>
        </is>
      </c>
      <c r="C58" s="13" t="inlineStr">
        <is>
          <t>Phase_9_9.6_Telegram</t>
        </is>
      </c>
      <c r="D58" s="12" t="inlineStr">
        <is>
          <t>Misc</t>
        </is>
      </c>
      <c r="E58" s="13" t="inlineStr">
        <is>
          <t>GLM 5.3</t>
        </is>
      </c>
      <c r="F58" s="14" t="n">
        <v>27</v>
      </c>
      <c r="G58" s="14" t="n">
        <v>76193</v>
      </c>
      <c r="H58" s="14" t="n">
        <v>6767</v>
      </c>
      <c r="I58" s="14" t="n">
        <v>20044</v>
      </c>
      <c r="J58" s="14" t="n">
        <v>896960</v>
      </c>
      <c r="K58" s="12" t="inlineStr">
        <is>
          <t>Off-Peak (50%)</t>
        </is>
      </c>
      <c r="L58" s="12" t="inlineStr">
        <is>
          <t>Off-Peak (1x)</t>
        </is>
      </c>
      <c r="M58" s="15" t="n">
        <v>0.3696546</v>
      </c>
      <c r="N58" s="15" t="n">
        <v>0.1310097</v>
      </c>
      <c r="O58" s="15" t="n">
        <v>0.20331003</v>
      </c>
      <c r="P58" s="15" t="n">
        <v>0.08341916000000001</v>
      </c>
      <c r="Q58" s="16" t="n">
        <v>110.648585</v>
      </c>
      <c r="R58" s="15" t="n">
        <v>0</v>
      </c>
      <c r="S58" s="15" t="n">
        <v>0</v>
      </c>
      <c r="T58" s="15" t="n">
        <v>0</v>
      </c>
    </row>
    <row r="59">
      <c r="A59" s="7" t="inlineStr">
        <is>
          <t>Day 5</t>
        </is>
      </c>
      <c r="B59" s="7" t="inlineStr">
        <is>
          <t>05:01 - 10:00</t>
        </is>
      </c>
      <c r="C59" s="8" t="inlineStr">
        <is>
          <t>Phase_9_9.6_Telegram</t>
        </is>
      </c>
      <c r="D59" s="7" t="inlineStr">
        <is>
          <t>Misc</t>
        </is>
      </c>
      <c r="E59" s="8" t="inlineStr">
        <is>
          <t>DeepSeek V4 Flash</t>
        </is>
      </c>
      <c r="F59" s="9" t="n">
        <v>2</v>
      </c>
      <c r="G59" s="9" t="n">
        <v>13072</v>
      </c>
      <c r="H59" s="9" t="n">
        <v>180</v>
      </c>
      <c r="I59" s="9" t="n">
        <v>45</v>
      </c>
      <c r="J59" s="9" t="n">
        <v>12600</v>
      </c>
      <c r="K59" s="7" t="inlineStr">
        <is>
          <t>Off-Peak (50%)</t>
        </is>
      </c>
      <c r="L59" s="7" t="inlineStr">
        <is>
          <t>Off-Peak (1x)</t>
        </is>
      </c>
      <c r="M59" s="10" t="n">
        <v>0.0011295088</v>
      </c>
      <c r="N59" s="10" t="n">
        <v>0.00102844</v>
      </c>
      <c r="O59" s="10" t="n">
        <v>0.0005742719999999999</v>
      </c>
      <c r="P59" s="10" t="n">
        <v>0.00308284</v>
      </c>
      <c r="Q59" s="11" t="n">
        <v>5.79684</v>
      </c>
      <c r="R59" s="10" t="n">
        <v>0.00308284</v>
      </c>
      <c r="S59" s="10" t="n">
        <v>0.0011295088</v>
      </c>
      <c r="T59" s="10" t="n">
        <v>0.0005742719999999999</v>
      </c>
    </row>
    <row r="60">
      <c r="A60" s="12" t="inlineStr">
        <is>
          <t>Day 5</t>
        </is>
      </c>
      <c r="B60" s="12" t="inlineStr">
        <is>
          <t>05:01 - 10:00</t>
        </is>
      </c>
      <c r="C60" s="13" t="inlineStr">
        <is>
          <t>Phase_9_9.6_Telegram</t>
        </is>
      </c>
      <c r="D60" s="12" t="inlineStr">
        <is>
          <t>Misc</t>
        </is>
      </c>
      <c r="E60" s="13" t="inlineStr">
        <is>
          <t>DeepSeek V4 Flash</t>
        </is>
      </c>
      <c r="F60" s="14" t="n">
        <v>75</v>
      </c>
      <c r="G60" s="14" t="n">
        <v>1637719</v>
      </c>
      <c r="H60" s="14" t="n">
        <v>15816</v>
      </c>
      <c r="I60" s="14" t="n">
        <v>11659</v>
      </c>
      <c r="J60" s="14" t="n">
        <v>15848960</v>
      </c>
      <c r="K60" s="12" t="inlineStr">
        <is>
          <t>Off-Peak (50%)</t>
        </is>
      </c>
      <c r="L60" s="12" t="inlineStr">
        <is>
          <t>Off-Peak (1x)</t>
        </is>
      </c>
      <c r="M60" s="15" t="n">
        <v>0.3801207361</v>
      </c>
      <c r="N60" s="15" t="n">
        <v>0.22779729</v>
      </c>
      <c r="O60" s="15" t="n">
        <v>0.174209148</v>
      </c>
      <c r="P60" s="15" t="n">
        <v>0.4816794599999999</v>
      </c>
      <c r="Q60" s="16" t="n">
        <v>1931.153855</v>
      </c>
      <c r="R60" s="15" t="n">
        <v>0.4816794599999999</v>
      </c>
      <c r="S60" s="15" t="n">
        <v>0.3801207361</v>
      </c>
      <c r="T60" s="15" t="n">
        <v>0.174209148</v>
      </c>
    </row>
    <row r="61">
      <c r="A61" s="7" t="inlineStr">
        <is>
          <t>Day 5</t>
        </is>
      </c>
      <c r="B61" s="7" t="inlineStr">
        <is>
          <t>05:01 - 10:00</t>
        </is>
      </c>
      <c r="C61" s="8" t="inlineStr">
        <is>
          <t>Phase_9_9.6_Telegram</t>
        </is>
      </c>
      <c r="D61" s="7" t="inlineStr">
        <is>
          <t>Misc</t>
        </is>
      </c>
      <c r="E61" s="8" t="inlineStr">
        <is>
          <t>GLM 5.3</t>
        </is>
      </c>
      <c r="F61" s="9" t="n">
        <v>156</v>
      </c>
      <c r="G61" s="9" t="n">
        <v>217069</v>
      </c>
      <c r="H61" s="9" t="n">
        <v>34403</v>
      </c>
      <c r="I61" s="9" t="n">
        <v>91011</v>
      </c>
      <c r="J61" s="9" t="n">
        <v>12525376</v>
      </c>
      <c r="K61" s="7" t="inlineStr">
        <is>
          <t>Off-Peak (50%)</t>
        </is>
      </c>
      <c r="L61" s="7" t="inlineStr">
        <is>
          <t>Off-Peak (1x)</t>
        </is>
      </c>
      <c r="M61" s="10" t="n">
        <v>3.71186756</v>
      </c>
      <c r="N61" s="10" t="n">
        <v>1.10441122</v>
      </c>
      <c r="O61" s="10" t="n">
        <v>2.041527158</v>
      </c>
      <c r="P61" s="10" t="n">
        <v>0.486941752</v>
      </c>
      <c r="Q61" s="11" t="n">
        <v>1180.829365</v>
      </c>
      <c r="R61" s="10" t="n">
        <v>0</v>
      </c>
      <c r="S61" s="10" t="n">
        <v>0</v>
      </c>
      <c r="T61" s="10" t="n">
        <v>0</v>
      </c>
    </row>
    <row r="62">
      <c r="A62" s="12" t="inlineStr">
        <is>
          <t>Day 5</t>
        </is>
      </c>
      <c r="B62" s="12" t="inlineStr">
        <is>
          <t>10:01 - 15:00</t>
        </is>
      </c>
      <c r="C62" s="13" t="inlineStr">
        <is>
          <t>Phase_9_9.7</t>
        </is>
      </c>
      <c r="D62" s="12" t="inlineStr">
        <is>
          <t>Misc</t>
        </is>
      </c>
      <c r="E62" s="13" t="inlineStr">
        <is>
          <t>GLM 5.3</t>
        </is>
      </c>
      <c r="F62" s="14" t="n">
        <v>12</v>
      </c>
      <c r="G62" s="14" t="n">
        <v>102420</v>
      </c>
      <c r="H62" s="14" t="n">
        <v>1798</v>
      </c>
      <c r="I62" s="14" t="n">
        <v>1639</v>
      </c>
      <c r="J62" s="14" t="n">
        <v>225728</v>
      </c>
      <c r="K62" s="12" t="inlineStr">
        <is>
          <t>Off-Peak (50%)</t>
        </is>
      </c>
      <c r="L62" s="12" t="inlineStr">
        <is>
          <t>Off-Peak (1x)</t>
        </is>
      </c>
      <c r="M62" s="15" t="n">
        <v>0.20998848</v>
      </c>
      <c r="N62" s="15" t="n">
        <v>0.09145056000000001</v>
      </c>
      <c r="O62" s="15" t="n">
        <v>0.115493664</v>
      </c>
      <c r="P62" s="15" t="n">
        <v>0.076123256</v>
      </c>
      <c r="Q62" s="16" t="n">
        <v>56.67938</v>
      </c>
      <c r="R62" s="15" t="n">
        <v>0</v>
      </c>
      <c r="S62" s="15" t="n">
        <v>0</v>
      </c>
      <c r="T62" s="15" t="n">
        <v>0</v>
      </c>
    </row>
    <row r="63">
      <c r="A63" s="7" t="inlineStr">
        <is>
          <t>Day 5</t>
        </is>
      </c>
      <c r="B63" s="7" t="inlineStr">
        <is>
          <t>10:01 - 15:00</t>
        </is>
      </c>
      <c r="C63" s="8" t="inlineStr">
        <is>
          <t>Phase_9_9.7_1</t>
        </is>
      </c>
      <c r="D63" s="7" t="inlineStr">
        <is>
          <t>Misc</t>
        </is>
      </c>
      <c r="E63" s="8" t="inlineStr">
        <is>
          <t>GLM 5.3</t>
        </is>
      </c>
      <c r="F63" s="9" t="n">
        <v>56</v>
      </c>
      <c r="G63" s="9" t="n">
        <v>542219</v>
      </c>
      <c r="H63" s="9" t="n">
        <v>36941</v>
      </c>
      <c r="I63" s="9" t="n">
        <v>7363</v>
      </c>
      <c r="J63" s="9" t="n">
        <v>6352384</v>
      </c>
      <c r="K63" s="7" t="inlineStr">
        <is>
          <t>Off-Peak (50%)</t>
        </is>
      </c>
      <c r="L63" s="7" t="inlineStr">
        <is>
          <t>Off-Peak (1x)</t>
        </is>
      </c>
      <c r="M63" s="10" t="n">
        <v>2.57326684</v>
      </c>
      <c r="N63" s="10" t="n">
        <v>0.9054903800000002</v>
      </c>
      <c r="O63" s="10" t="n">
        <v>1.415296762</v>
      </c>
      <c r="P63" s="10" t="n">
        <v>0.5707601680000001</v>
      </c>
      <c r="Q63" s="11" t="n">
        <v>771.3473949999999</v>
      </c>
      <c r="R63" s="10" t="n">
        <v>0</v>
      </c>
      <c r="S63" s="10" t="n">
        <v>0</v>
      </c>
      <c r="T63" s="10" t="n">
        <v>0</v>
      </c>
    </row>
    <row r="64">
      <c r="A64" s="12" t="inlineStr">
        <is>
          <t>Day 5</t>
        </is>
      </c>
      <c r="B64" s="12" t="inlineStr">
        <is>
          <t>10:01 - 15:00</t>
        </is>
      </c>
      <c r="C64" s="13" t="inlineStr">
        <is>
          <t>Phase_9_9.7_1</t>
        </is>
      </c>
      <c r="D64" s="12" t="inlineStr">
        <is>
          <t>Misc</t>
        </is>
      </c>
      <c r="E64" s="13" t="inlineStr">
        <is>
          <t>DeepSeek V4 Flash</t>
        </is>
      </c>
      <c r="F64" s="14" t="n">
        <v>7</v>
      </c>
      <c r="G64" s="14" t="n">
        <v>75084</v>
      </c>
      <c r="H64" s="14" t="n">
        <v>987</v>
      </c>
      <c r="I64" s="14" t="n">
        <v>181</v>
      </c>
      <c r="J64" s="14" t="n">
        <v>59048</v>
      </c>
      <c r="K64" s="12" t="inlineStr">
        <is>
          <t>Off-Peak (50%)</t>
        </is>
      </c>
      <c r="L64" s="12" t="inlineStr">
        <is>
          <t>Off-Peak (1x)</t>
        </is>
      </c>
      <c r="M64" s="15" t="n">
        <v>0.006256026</v>
      </c>
      <c r="N64" s="15" t="n">
        <v>0.005807396</v>
      </c>
      <c r="O64" s="15" t="n">
        <v>0.003199233599999999</v>
      </c>
      <c r="P64" s="15" t="n">
        <v>0.017583236</v>
      </c>
      <c r="Q64" s="16" t="n">
        <v>32.10746</v>
      </c>
      <c r="R64" s="15" t="n">
        <v>0.017583236</v>
      </c>
      <c r="S64" s="15" t="n">
        <v>0.006256026</v>
      </c>
      <c r="T64" s="15" t="n">
        <v>0.003199233599999999</v>
      </c>
    </row>
    <row r="65">
      <c r="A65" s="7" t="inlineStr">
        <is>
          <t>Day 5</t>
        </is>
      </c>
      <c r="B65" s="7" t="inlineStr">
        <is>
          <t>10:01 - 15:00</t>
        </is>
      </c>
      <c r="C65" s="8" t="inlineStr">
        <is>
          <t>Phase_9_9.8</t>
        </is>
      </c>
      <c r="D65" s="7" t="inlineStr">
        <is>
          <t>Misc</t>
        </is>
      </c>
      <c r="E65" s="8" t="inlineStr">
        <is>
          <t>DeepSeek V4 Flash</t>
        </is>
      </c>
      <c r="F65" s="9" t="n">
        <v>17</v>
      </c>
      <c r="G65" s="9" t="n">
        <v>93894</v>
      </c>
      <c r="H65" s="9" t="n">
        <v>5894</v>
      </c>
      <c r="I65" s="9" t="n">
        <v>3649</v>
      </c>
      <c r="J65" s="9" t="n">
        <v>447488</v>
      </c>
      <c r="K65" s="7" t="inlineStr">
        <is>
          <t>Off-Peak (50%)</t>
        </is>
      </c>
      <c r="L65" s="7" t="inlineStr">
        <is>
          <t>Off-Peak (1x)</t>
        </is>
      </c>
      <c r="M65" s="10" t="n">
        <v>0.014883393</v>
      </c>
      <c r="N65" s="10" t="n">
        <v>0.010530156</v>
      </c>
      <c r="O65" s="10" t="n">
        <v>0.007026465599999999</v>
      </c>
      <c r="P65" s="10" t="n">
        <v>0.027679136</v>
      </c>
      <c r="Q65" s="11" t="n">
        <v>77.50270999999999</v>
      </c>
      <c r="R65" s="10" t="n">
        <v>0.027679136</v>
      </c>
      <c r="S65" s="10" t="n">
        <v>0.014883393</v>
      </c>
      <c r="T65" s="10" t="n">
        <v>0.007026465599999999</v>
      </c>
    </row>
    <row r="66">
      <c r="A66" s="12" t="inlineStr">
        <is>
          <t>Day 5</t>
        </is>
      </c>
      <c r="B66" s="12" t="inlineStr">
        <is>
          <t>15:01 - 20:00</t>
        </is>
      </c>
      <c r="C66" s="13" t="inlineStr">
        <is>
          <t>Phase_9_9.9</t>
        </is>
      </c>
      <c r="D66" s="12" t="inlineStr">
        <is>
          <t>Misc</t>
        </is>
      </c>
      <c r="E66" s="13" t="inlineStr">
        <is>
          <t>GLM 5.3</t>
        </is>
      </c>
      <c r="F66" s="14" t="n">
        <v>20</v>
      </c>
      <c r="G66" s="14" t="n">
        <v>489782</v>
      </c>
      <c r="H66" s="14" t="n">
        <v>5879</v>
      </c>
      <c r="I66" s="14" t="n">
        <v>5469</v>
      </c>
      <c r="J66" s="14" t="n">
        <v>503040</v>
      </c>
      <c r="K66" s="12" t="inlineStr">
        <is>
          <t>PEAK (100%)</t>
        </is>
      </c>
      <c r="L66" s="12" t="inlineStr">
        <is>
          <t>PEAK (2x)</t>
        </is>
      </c>
      <c r="M66" s="15" t="n">
        <v>0.8423527999999999</v>
      </c>
      <c r="N66" s="15" t="n">
        <v>0.390994</v>
      </c>
      <c r="O66" s="15" t="n">
        <v>0.46329404</v>
      </c>
      <c r="P66" s="15" t="n">
        <v>0.6919268399999999</v>
      </c>
      <c r="Q66" s="16" t="n">
        <v>437.5759800000001</v>
      </c>
      <c r="R66" s="15" t="n">
        <v>0</v>
      </c>
      <c r="S66" s="15" t="n">
        <v>0</v>
      </c>
      <c r="T66" s="15" t="n">
        <v>0</v>
      </c>
    </row>
    <row r="67">
      <c r="A67" s="7" t="inlineStr">
        <is>
          <t>Day 5</t>
        </is>
      </c>
      <c r="B67" s="7" t="inlineStr">
        <is>
          <t>15:01 - 20:00</t>
        </is>
      </c>
      <c r="C67" s="8" t="inlineStr">
        <is>
          <t>Phase_9_Debug</t>
        </is>
      </c>
      <c r="D67" s="7" t="inlineStr">
        <is>
          <t>Misc</t>
        </is>
      </c>
      <c r="E67" s="8" t="inlineStr">
        <is>
          <t>GLM 5.3</t>
        </is>
      </c>
      <c r="F67" s="9" t="n">
        <v>120</v>
      </c>
      <c r="G67" s="9" t="n">
        <v>13677356</v>
      </c>
      <c r="H67" s="9" t="n">
        <v>25505</v>
      </c>
      <c r="I67" s="9" t="n">
        <v>51451</v>
      </c>
      <c r="J67" s="9" t="n">
        <v>0</v>
      </c>
      <c r="K67" s="7" t="inlineStr">
        <is>
          <t>PEAK (100%)</t>
        </is>
      </c>
      <c r="L67" s="7" t="inlineStr">
        <is>
          <t>PEAK (2x)</t>
        </is>
      </c>
      <c r="M67" s="10" t="n">
        <v>19.2605204</v>
      </c>
      <c r="N67" s="10" t="n">
        <v>9.630260199999999</v>
      </c>
      <c r="O67" s="10" t="n">
        <v>10.59328622</v>
      </c>
      <c r="P67" s="10" t="n">
        <v>18.15510972</v>
      </c>
      <c r="Q67" s="11" t="n">
        <v>9498.58764</v>
      </c>
      <c r="R67" s="10" t="n">
        <v>17.87236487748077</v>
      </c>
      <c r="S67" s="10" t="n">
        <v>18.96056006424189</v>
      </c>
      <c r="T67" s="10" t="n">
        <v>10.42830803533304</v>
      </c>
    </row>
    <row r="68">
      <c r="A68" s="12" t="inlineStr">
        <is>
          <t>Day 5</t>
        </is>
      </c>
      <c r="B68" s="12" t="inlineStr">
        <is>
          <t>15:01 - 20:00</t>
        </is>
      </c>
      <c r="C68" s="13" t="inlineStr">
        <is>
          <t>Phase_9_Debug_Qwen</t>
        </is>
      </c>
      <c r="D68" s="12" t="inlineStr">
        <is>
          <t>Misc</t>
        </is>
      </c>
      <c r="E68" s="13" t="inlineStr">
        <is>
          <t>GLM 5.3</t>
        </is>
      </c>
      <c r="F68" s="14" t="n">
        <v>32</v>
      </c>
      <c r="G68" s="14" t="n">
        <v>209807</v>
      </c>
      <c r="H68" s="14" t="n">
        <v>25380</v>
      </c>
      <c r="I68" s="14" t="n">
        <v>29919</v>
      </c>
      <c r="J68" s="14" t="n">
        <v>4006208</v>
      </c>
      <c r="K68" s="12" t="inlineStr">
        <is>
          <t>PEAK (100%)</t>
        </is>
      </c>
      <c r="L68" s="12" t="inlineStr">
        <is>
          <t>PEAK (2x)</t>
        </is>
      </c>
      <c r="M68" s="15" t="n">
        <v>1.44701588</v>
      </c>
      <c r="N68" s="15" t="n">
        <v>0.48313546</v>
      </c>
      <c r="O68" s="15" t="n">
        <v>0.795858734</v>
      </c>
      <c r="P68" s="15" t="n">
        <v>0.5537231920000001</v>
      </c>
      <c r="Q68" s="16" t="n">
        <v>886.7341899999999</v>
      </c>
      <c r="R68" s="15" t="n">
        <v>0.5537231920000001</v>
      </c>
      <c r="S68" s="15" t="n">
        <v>1.44701588</v>
      </c>
      <c r="T68" s="15" t="n">
        <v>0.795858734</v>
      </c>
    </row>
    <row r="69">
      <c r="A69" s="7" t="inlineStr">
        <is>
          <t>Day 5</t>
        </is>
      </c>
      <c r="B69" s="7" t="inlineStr">
        <is>
          <t>15:01 - 20:00</t>
        </is>
      </c>
      <c r="C69" s="8" t="inlineStr">
        <is>
          <t>Phase_9_Debug_Qwen</t>
        </is>
      </c>
      <c r="D69" s="7" t="inlineStr">
        <is>
          <t>Misc</t>
        </is>
      </c>
      <c r="E69" s="8" t="inlineStr">
        <is>
          <t>GLM 5.3</t>
        </is>
      </c>
      <c r="F69" s="9" t="n">
        <v>11</v>
      </c>
      <c r="G69" s="9" t="n">
        <v>38850</v>
      </c>
      <c r="H69" s="9" t="n">
        <v>3877</v>
      </c>
      <c r="I69" s="9" t="n">
        <v>10201</v>
      </c>
      <c r="J69" s="9" t="n">
        <v>1000448</v>
      </c>
      <c r="K69" s="7" t="inlineStr">
        <is>
          <t>PEAK (100%)</t>
        </is>
      </c>
      <c r="L69" s="7" t="inlineStr">
        <is>
          <t>PEAK (2x)</t>
        </is>
      </c>
      <c r="M69" s="10" t="n">
        <v>0.33156528</v>
      </c>
      <c r="N69" s="10" t="n">
        <v>0.10575576</v>
      </c>
      <c r="O69" s="10" t="n">
        <v>0.182360904</v>
      </c>
      <c r="P69" s="10" t="n">
        <v>0.110654632</v>
      </c>
      <c r="Q69" s="11" t="n">
        <v>206.18746</v>
      </c>
      <c r="R69" s="10" t="n">
        <v>0.110654632</v>
      </c>
      <c r="S69" s="10" t="n">
        <v>0.33156528</v>
      </c>
      <c r="T69" s="10" t="n">
        <v>0.182360904</v>
      </c>
    </row>
    <row r="70">
      <c r="A70" s="12" t="inlineStr">
        <is>
          <t>Day 5</t>
        </is>
      </c>
      <c r="B70" s="12" t="inlineStr">
        <is>
          <t>15:01 - 20:00</t>
        </is>
      </c>
      <c r="C70" s="13" t="inlineStr">
        <is>
          <t>Phase_9_Debug_Qwen</t>
        </is>
      </c>
      <c r="D70" s="12" t="inlineStr">
        <is>
          <t>Misc</t>
        </is>
      </c>
      <c r="E70" s="13" t="inlineStr">
        <is>
          <t>GLM 5.3</t>
        </is>
      </c>
      <c r="F70" s="14" t="n">
        <v>26</v>
      </c>
      <c r="G70" s="14" t="n">
        <v>209394</v>
      </c>
      <c r="H70" s="14" t="n">
        <v>7133</v>
      </c>
      <c r="I70" s="14" t="n">
        <v>26734</v>
      </c>
      <c r="J70" s="14" t="n">
        <v>880384</v>
      </c>
      <c r="K70" s="12" t="inlineStr">
        <is>
          <t>PEAK (100%)</t>
        </is>
      </c>
      <c r="L70" s="12" t="inlineStr">
        <is>
          <t>PEAK (2x)</t>
        </is>
      </c>
      <c r="M70" s="15" t="n">
        <v>0.55343664</v>
      </c>
      <c r="N70" s="15" t="n">
        <v>0.22389528</v>
      </c>
      <c r="O70" s="15" t="n">
        <v>0.304390152</v>
      </c>
      <c r="P70" s="15" t="n">
        <v>0.343383656</v>
      </c>
      <c r="Q70" s="16" t="n">
        <v>311.26634</v>
      </c>
      <c r="R70" s="15" t="n">
        <v>0.343383656</v>
      </c>
      <c r="S70" s="15" t="n">
        <v>0.55343664</v>
      </c>
      <c r="T70" s="15" t="n">
        <v>0.304390152</v>
      </c>
    </row>
    <row r="71">
      <c r="A71" s="7" t="inlineStr">
        <is>
          <t>Day 5</t>
        </is>
      </c>
      <c r="B71" s="7" t="inlineStr">
        <is>
          <t>20:01 - 01:00</t>
        </is>
      </c>
      <c r="C71" s="8" t="inlineStr">
        <is>
          <t>Phase_9_aldi_remove</t>
        </is>
      </c>
      <c r="D71" s="7" t="inlineStr">
        <is>
          <t>Misc</t>
        </is>
      </c>
      <c r="E71" s="8" t="inlineStr">
        <is>
          <t>GLM 5.3</t>
        </is>
      </c>
      <c r="F71" s="9" t="n">
        <v>22</v>
      </c>
      <c r="G71" s="9" t="n">
        <v>164434</v>
      </c>
      <c r="H71" s="9" t="n">
        <v>10568</v>
      </c>
      <c r="I71" s="9" t="n">
        <v>24249</v>
      </c>
      <c r="J71" s="9" t="n">
        <v>1329152</v>
      </c>
      <c r="K71" s="7" t="inlineStr">
        <is>
          <t>Off-Peak (50%)</t>
        </is>
      </c>
      <c r="L71" s="7" t="inlineStr">
        <is>
          <t>Off-Peak (1x)</t>
        </is>
      </c>
      <c r="M71" s="10" t="n">
        <v>0.6222863200000001</v>
      </c>
      <c r="N71" s="10" t="n">
        <v>0.23139404</v>
      </c>
      <c r="O71" s="10" t="n">
        <v>0.3422574759999999</v>
      </c>
      <c r="P71" s="10" t="n">
        <v>0.158692424</v>
      </c>
      <c r="Q71" s="11" t="n">
        <v>182.38925</v>
      </c>
      <c r="R71" s="10" t="n">
        <v>0.158692424</v>
      </c>
      <c r="S71" s="10" t="n">
        <v>0.6222863200000001</v>
      </c>
      <c r="T71" s="10" t="n">
        <v>0.3422574759999999</v>
      </c>
    </row>
    <row r="72">
      <c r="A72" s="12" t="inlineStr">
        <is>
          <t>Day 5</t>
        </is>
      </c>
      <c r="B72" s="12" t="inlineStr">
        <is>
          <t>20:01 - 01:00</t>
        </is>
      </c>
      <c r="C72" s="13" t="inlineStr">
        <is>
          <t>phae_9_specials</t>
        </is>
      </c>
      <c r="D72" s="12" t="inlineStr">
        <is>
          <t>Misc</t>
        </is>
      </c>
      <c r="E72" s="13" t="inlineStr">
        <is>
          <t>GLM 5.3</t>
        </is>
      </c>
      <c r="F72" s="14" t="n">
        <v>11</v>
      </c>
      <c r="G72" s="14" t="n">
        <v>121104</v>
      </c>
      <c r="H72" s="14" t="n">
        <v>5353</v>
      </c>
      <c r="I72" s="14" t="n">
        <v>6167</v>
      </c>
      <c r="J72" s="14" t="n">
        <v>469120</v>
      </c>
      <c r="K72" s="12" t="inlineStr">
        <is>
          <t>Off-Peak (50%)</t>
        </is>
      </c>
      <c r="L72" s="12" t="inlineStr">
        <is>
          <t>Off-Peak (1x)</t>
        </is>
      </c>
      <c r="M72" s="15" t="n">
        <v>0.31507</v>
      </c>
      <c r="N72" s="15" t="n">
        <v>0.1293878</v>
      </c>
      <c r="O72" s="15" t="n">
        <v>0.1732885</v>
      </c>
      <c r="P72" s="15" t="n">
        <v>0.10084822</v>
      </c>
      <c r="Q72" s="16" t="n">
        <v>88.07968000000001</v>
      </c>
      <c r="R72" s="15" t="n">
        <v>0.10084822</v>
      </c>
      <c r="S72" s="15" t="n">
        <v>0.31507</v>
      </c>
      <c r="T72" s="15" t="n">
        <v>0.1732885</v>
      </c>
    </row>
    <row r="73">
      <c r="A73" s="7" t="inlineStr">
        <is>
          <t>Day 5</t>
        </is>
      </c>
      <c r="B73" s="7" t="inlineStr">
        <is>
          <t>20:01 - 01:00</t>
        </is>
      </c>
      <c r="C73" s="8" t="inlineStr">
        <is>
          <t>Execute aldi_remove.md plan</t>
        </is>
      </c>
      <c r="D73" s="7" t="inlineStr">
        <is>
          <t>Plan</t>
        </is>
      </c>
      <c r="E73" s="8" t="inlineStr">
        <is>
          <t>DeepSeek V4 Pro</t>
        </is>
      </c>
      <c r="F73" s="9" t="n">
        <v>7</v>
      </c>
      <c r="G73" s="9" t="n">
        <v>454600</v>
      </c>
      <c r="H73" s="9" t="n">
        <v>1475</v>
      </c>
      <c r="I73" s="9" t="n">
        <v>433</v>
      </c>
      <c r="J73" s="9" t="n">
        <v>1125376</v>
      </c>
      <c r="K73" s="7" t="inlineStr">
        <is>
          <t>Off-Peak (50%)</t>
        </is>
      </c>
      <c r="L73" s="7" t="inlineStr">
        <is>
          <t>Off-Peak (1x)</t>
        </is>
      </c>
      <c r="M73" s="10" t="n">
        <v>0.021626257</v>
      </c>
      <c r="N73" s="10" t="n">
        <v>0.125419272</v>
      </c>
      <c r="O73" s="10" t="n">
        <v>0.4588006808</v>
      </c>
      <c r="P73" s="10" t="n">
        <v>0.327714772</v>
      </c>
      <c r="Q73" s="11" t="n">
        <v>254.26396</v>
      </c>
      <c r="R73" s="10" t="n">
        <v>0.327714772</v>
      </c>
      <c r="S73" s="10" t="n">
        <v>0.021626257</v>
      </c>
      <c r="T73" s="10" t="n">
        <v>0.4588006808</v>
      </c>
    </row>
    <row r="74">
      <c r="A74" s="12" t="inlineStr">
        <is>
          <t>Day 5</t>
        </is>
      </c>
      <c r="B74" s="12" t="inlineStr">
        <is>
          <t>20:01 - 01:00</t>
        </is>
      </c>
      <c r="C74" s="13" t="inlineStr">
        <is>
          <t>Execute aldi_remove.md plan</t>
        </is>
      </c>
      <c r="D74" s="12" t="inlineStr">
        <is>
          <t>Plan</t>
        </is>
      </c>
      <c r="E74" s="13" t="inlineStr">
        <is>
          <t>DeepSeek V4 Pro</t>
        </is>
      </c>
      <c r="F74" s="14" t="n">
        <v>146</v>
      </c>
      <c r="G74" s="14" t="n">
        <v>355923</v>
      </c>
      <c r="H74" s="14" t="n">
        <v>31727</v>
      </c>
      <c r="I74" s="14" t="n">
        <v>49073</v>
      </c>
      <c r="J74" s="14" t="n">
        <v>14176064</v>
      </c>
      <c r="K74" s="12" t="inlineStr">
        <is>
          <t>Off-Peak (50%)</t>
        </is>
      </c>
      <c r="L74" s="12" t="inlineStr">
        <is>
          <t>Off-Peak (1x)</t>
        </is>
      </c>
      <c r="M74" s="15" t="n">
        <v>0.112289663</v>
      </c>
      <c r="N74" s="15" t="n">
        <v>0.404136348</v>
      </c>
      <c r="O74" s="15" t="n">
        <v>0.8534428672</v>
      </c>
      <c r="P74" s="15" t="n">
        <v>0.609602048</v>
      </c>
      <c r="Q74" s="16" t="n">
        <v>1365.831275</v>
      </c>
      <c r="R74" s="15" t="n">
        <v>0.609602048</v>
      </c>
      <c r="S74" s="15" t="n">
        <v>0.112289663</v>
      </c>
      <c r="T74" s="15" t="n">
        <v>0.8534428672</v>
      </c>
    </row>
    <row r="75">
      <c r="A75" s="7" t="inlineStr">
        <is>
          <t>Day 6</t>
        </is>
      </c>
      <c r="B75" s="7" t="inlineStr">
        <is>
          <t>05:01 - 10:00</t>
        </is>
      </c>
      <c r="C75" s="8" t="inlineStr">
        <is>
          <t>Execute aldi_remove.md plan</t>
        </is>
      </c>
      <c r="D75" s="7" t="inlineStr">
        <is>
          <t>Plan</t>
        </is>
      </c>
      <c r="E75" s="8" t="inlineStr">
        <is>
          <t>DeepSeek V4 Pro</t>
        </is>
      </c>
      <c r="F75" s="9" t="n">
        <v>10</v>
      </c>
      <c r="G75" s="9" t="n">
        <v>228977</v>
      </c>
      <c r="H75" s="9" t="n">
        <v>1811</v>
      </c>
      <c r="I75" s="9" t="n">
        <v>1760</v>
      </c>
      <c r="J75" s="9" t="n">
        <v>1999872</v>
      </c>
      <c r="K75" s="7" t="inlineStr">
        <is>
          <t>Off-Peak (50%)</t>
        </is>
      </c>
      <c r="L75" s="7" t="inlineStr">
        <is>
          <t>Off-Peak (1x)</t>
        </is>
      </c>
      <c r="M75" s="10" t="n">
        <v>0.021004239</v>
      </c>
      <c r="N75" s="10" t="n">
        <v>0.09516896399999999</v>
      </c>
      <c r="O75" s="10" t="n">
        <v>0.2781908976</v>
      </c>
      <c r="P75" s="10" t="n">
        <v>0.198707784</v>
      </c>
      <c r="Q75" s="11" t="n">
        <v>251.159385</v>
      </c>
      <c r="R75" s="10" t="n">
        <v>0.198707784</v>
      </c>
      <c r="S75" s="10" t="n">
        <v>0.021004239</v>
      </c>
      <c r="T75" s="10" t="n">
        <v>0.2781908976</v>
      </c>
    </row>
    <row r="76">
      <c r="A76" s="12" t="inlineStr">
        <is>
          <t>Day 6</t>
        </is>
      </c>
      <c r="B76" s="12" t="inlineStr">
        <is>
          <t>05:01 - 10:00</t>
        </is>
      </c>
      <c r="C76" s="13" t="inlineStr">
        <is>
          <t>Execute aldi_remove.md plan</t>
        </is>
      </c>
      <c r="D76" s="12" t="inlineStr">
        <is>
          <t>Plan</t>
        </is>
      </c>
      <c r="E76" s="13" t="inlineStr">
        <is>
          <t>DeepSeek V4 Pro</t>
        </is>
      </c>
      <c r="F76" s="14" t="n">
        <v>13</v>
      </c>
      <c r="G76" s="14" t="n">
        <v>235227</v>
      </c>
      <c r="H76" s="14" t="n">
        <v>3193</v>
      </c>
      <c r="I76" s="14" t="n">
        <v>8640</v>
      </c>
      <c r="J76" s="14" t="n">
        <v>2442880</v>
      </c>
      <c r="K76" s="12" t="inlineStr">
        <is>
          <t>Off-Peak (50%)</t>
        </is>
      </c>
      <c r="L76" s="12" t="inlineStr">
        <is>
          <t>Off-Peak (1x)</t>
        </is>
      </c>
      <c r="M76" s="15" t="n">
        <v>0.024396445</v>
      </c>
      <c r="N76" s="15" t="n">
        <v>0.10689822</v>
      </c>
      <c r="O76" s="15" t="n">
        <v>0.301441448</v>
      </c>
      <c r="P76" s="15" t="n">
        <v>0.21531532</v>
      </c>
      <c r="Q76" s="16" t="n">
        <v>292.629715</v>
      </c>
      <c r="R76" s="15" t="n">
        <v>0.21531532</v>
      </c>
      <c r="S76" s="15" t="n">
        <v>0.024396445</v>
      </c>
      <c r="T76" s="15" t="n">
        <v>0.301441448</v>
      </c>
    </row>
    <row r="77">
      <c r="A77" s="7" t="inlineStr">
        <is>
          <t>Day 6</t>
        </is>
      </c>
      <c r="B77" s="7" t="inlineStr">
        <is>
          <t>05:01 - 10:00</t>
        </is>
      </c>
      <c r="C77" s="8" t="inlineStr">
        <is>
          <t>Execute aldi_remove.md plan</t>
        </is>
      </c>
      <c r="D77" s="7" t="inlineStr">
        <is>
          <t>Plan</t>
        </is>
      </c>
      <c r="E77" s="8" t="inlineStr">
        <is>
          <t>DeepSeek V4 Pro</t>
        </is>
      </c>
      <c r="F77" s="9" t="n">
        <v>11</v>
      </c>
      <c r="G77" s="9" t="n">
        <v>234948</v>
      </c>
      <c r="H77" s="9" t="n">
        <v>1936</v>
      </c>
      <c r="I77" s="9" t="n">
        <v>4020</v>
      </c>
      <c r="J77" s="9" t="n">
        <v>2199936</v>
      </c>
      <c r="K77" s="7" t="inlineStr">
        <is>
          <t>Off-Peak (50%)</t>
        </is>
      </c>
      <c r="L77" s="7" t="inlineStr">
        <is>
          <t>Off-Peak (1x)</t>
        </is>
      </c>
      <c r="M77" s="10" t="n">
        <v>0.022593192</v>
      </c>
      <c r="N77" s="10" t="n">
        <v>0.100938992</v>
      </c>
      <c r="O77" s="10" t="n">
        <v>0.2902165728</v>
      </c>
      <c r="P77" s="10" t="n">
        <v>0.207297552</v>
      </c>
      <c r="Q77" s="11" t="n">
        <v>270.37482</v>
      </c>
      <c r="R77" s="10" t="n">
        <v>0.207297552</v>
      </c>
      <c r="S77" s="10" t="n">
        <v>0.022593192</v>
      </c>
      <c r="T77" s="10" t="n">
        <v>0.2902165728</v>
      </c>
    </row>
    <row r="78">
      <c r="A78" s="12" t="inlineStr">
        <is>
          <t>Day 6</t>
        </is>
      </c>
      <c r="B78" s="12" t="inlineStr">
        <is>
          <t>15:01 - 20:00</t>
        </is>
      </c>
      <c r="C78" s="13" t="inlineStr">
        <is>
          <t>Sheet analysis and task automation workflow</t>
        </is>
      </c>
      <c r="D78" s="12" t="inlineStr">
        <is>
          <t>Misc</t>
        </is>
      </c>
      <c r="E78" s="13" t="inlineStr">
        <is>
          <t>DeepSeek V4 Flash</t>
        </is>
      </c>
      <c r="F78" s="14" t="n">
        <v>19</v>
      </c>
      <c r="G78" s="14" t="n">
        <v>1015907</v>
      </c>
      <c r="H78" s="14" t="n">
        <v>5125</v>
      </c>
      <c r="I78" s="14" t="n">
        <v>8699</v>
      </c>
      <c r="J78" s="14" t="n">
        <v>189568</v>
      </c>
      <c r="K78" s="12" t="inlineStr">
        <is>
          <t>PEAK (100%)</t>
        </is>
      </c>
      <c r="L78" s="12" t="inlineStr">
        <is>
          <t>PEAK (2x)</t>
        </is>
      </c>
      <c r="M78" s="15" t="n">
        <v>0.0730258277</v>
      </c>
      <c r="N78" s="15" t="n">
        <v>0.073157966</v>
      </c>
      <c r="O78" s="15" t="n">
        <v>0.03830654159999999</v>
      </c>
      <c r="P78" s="15" t="n">
        <v>0.456418032</v>
      </c>
      <c r="Q78" s="16" t="n">
        <v>745.50239</v>
      </c>
      <c r="R78" s="15" t="n">
        <v>0.456418032</v>
      </c>
      <c r="S78" s="15" t="n">
        <v>0.0730258277</v>
      </c>
      <c r="T78" s="15" t="n">
        <v>0.03830654159999999</v>
      </c>
    </row>
    <row r="79">
      <c r="A79" s="17" t="inlineStr">
        <is>
          <t>Grand Total (Including $18 Base Fee for Sc. 6-8)</t>
        </is>
      </c>
      <c r="B79" s="18" t="n"/>
      <c r="C79" s="18" t="n"/>
      <c r="D79" s="18" t="n"/>
      <c r="E79" s="18" t="n"/>
      <c r="F79" s="19">
        <f>SUM(F5:F78)</f>
        <v/>
      </c>
      <c r="G79" s="19">
        <f>SUM(G5:G78)</f>
        <v/>
      </c>
      <c r="H79" s="19">
        <f>SUM(H5:H78)</f>
        <v/>
      </c>
      <c r="I79" s="19">
        <f>SUM(I5:I78)</f>
        <v/>
      </c>
      <c r="J79" s="19">
        <f>SUM(J5:J78)</f>
        <v/>
      </c>
      <c r="K79" s="18" t="n"/>
      <c r="L79" s="18" t="n"/>
      <c r="M79" s="20">
        <f>SUM(M5:M78)</f>
        <v/>
      </c>
      <c r="N79" s="20">
        <f>SUM(N5:N78)</f>
        <v/>
      </c>
      <c r="O79" s="20">
        <f>SUM(O5:O78)</f>
        <v/>
      </c>
      <c r="P79" s="20">
        <f>SUM(P5:P78)</f>
        <v/>
      </c>
      <c r="Q79" s="21">
        <f>SUM(Q5:Q78)</f>
        <v/>
      </c>
      <c r="R79" s="20">
        <f>18 + SUM(R5:R78)</f>
        <v/>
      </c>
      <c r="S79" s="20">
        <f>18 + SUM(S5:S78)</f>
        <v/>
      </c>
      <c r="T79" s="20">
        <f>18 + SUM(T5:T78)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20" customWidth="1" min="4" max="4"/>
    <col width="34" customWidth="1" min="5" max="5"/>
    <col width="19" customWidth="1" min="6" max="6"/>
    <col width="20" customWidth="1" min="7" max="7"/>
    <col width="24" customWidth="1" min="8" max="8"/>
    <col width="22" customWidth="1" min="9" max="9"/>
  </cols>
  <sheetData>
    <row r="1">
      <c r="A1" s="1" t="inlineStr">
        <is>
          <t>Consolidated Phase-Wise &amp; Stage-Wise Token Architecture</t>
        </is>
      </c>
    </row>
    <row r="2">
      <c r="A2" s="2" t="inlineStr">
        <is>
          <t>Table 1: Consolidated Phase 0 to Phase 9 + Misc summary | Table 2: Complete Project Stage-Wise Token Summary</t>
        </is>
      </c>
    </row>
    <row r="3"/>
    <row r="4">
      <c r="A4" s="22" t="inlineStr">
        <is>
          <t>Table 1: Consolidated Phase-by-Phase Token Consumption (Phase 0 to 9 &amp; Misc)</t>
        </is>
      </c>
    </row>
    <row r="5">
      <c r="A5" s="3" t="inlineStr">
        <is>
          <t>Consolidated Phase</t>
        </is>
      </c>
      <c r="B5" s="3" t="inlineStr">
        <is>
          <t>Execution Stages Included</t>
        </is>
      </c>
      <c r="C5" s="3" t="inlineStr">
        <is>
          <t>Execution Steps</t>
        </is>
      </c>
      <c r="D5" s="3" t="inlineStr">
        <is>
          <t>Input Tokens</t>
        </is>
      </c>
      <c r="E5" s="3" t="inlineStr">
        <is>
          <t>Output Tokens</t>
        </is>
      </c>
      <c r="F5" s="3" t="inlineStr">
        <is>
          <t>Reasoning Tokens</t>
        </is>
      </c>
      <c r="G5" s="3" t="inlineStr">
        <is>
          <t>Cache Read Tokens</t>
        </is>
      </c>
      <c r="H5" s="3" t="inlineStr">
        <is>
          <t>Total Combined Tokens</t>
        </is>
      </c>
    </row>
    <row r="6">
      <c r="A6" s="26" t="inlineStr">
        <is>
          <t>Phase 0</t>
        </is>
      </c>
      <c r="B6" s="12" t="inlineStr">
        <is>
          <t>Misc</t>
        </is>
      </c>
      <c r="C6" s="14" t="n">
        <v>67</v>
      </c>
      <c r="D6" s="14" t="n">
        <v>471875</v>
      </c>
      <c r="E6" s="14" t="n">
        <v>25574</v>
      </c>
      <c r="F6" s="14" t="n">
        <v>15697</v>
      </c>
      <c r="G6" s="14" t="n">
        <v>1879381</v>
      </c>
      <c r="H6" s="14">
        <f>D6+E6+G6</f>
        <v/>
      </c>
    </row>
    <row r="7">
      <c r="A7" s="27" t="inlineStr">
        <is>
          <t>Phase 1</t>
        </is>
      </c>
      <c r="B7" s="7" t="inlineStr">
        <is>
          <t>Code, Plan</t>
        </is>
      </c>
      <c r="C7" s="9" t="n">
        <v>353</v>
      </c>
      <c r="D7" s="9" t="n">
        <v>2848415</v>
      </c>
      <c r="E7" s="9" t="n">
        <v>157871</v>
      </c>
      <c r="F7" s="9" t="n">
        <v>40503</v>
      </c>
      <c r="G7" s="9" t="n">
        <v>83354896</v>
      </c>
      <c r="H7" s="9">
        <f>D7+E7+G7</f>
        <v/>
      </c>
    </row>
    <row r="8">
      <c r="A8" s="26" t="inlineStr">
        <is>
          <t>Phase 2</t>
        </is>
      </c>
      <c r="B8" s="12" t="inlineStr">
        <is>
          <t>Arch, Code, Plan</t>
        </is>
      </c>
      <c r="C8" s="14" t="n">
        <v>92</v>
      </c>
      <c r="D8" s="14" t="n">
        <v>792037</v>
      </c>
      <c r="E8" s="14" t="n">
        <v>80747</v>
      </c>
      <c r="F8" s="14" t="n">
        <v>13801</v>
      </c>
      <c r="G8" s="14" t="n">
        <v>4092808</v>
      </c>
      <c r="H8" s="14">
        <f>D8+E8+G8</f>
        <v/>
      </c>
    </row>
    <row r="9">
      <c r="A9" s="27" t="inlineStr">
        <is>
          <t>Phase 3</t>
        </is>
      </c>
      <c r="B9" s="7" t="inlineStr">
        <is>
          <t>Arch, Code, Plan</t>
        </is>
      </c>
      <c r="C9" s="9" t="n">
        <v>150</v>
      </c>
      <c r="D9" s="9" t="n">
        <v>1183051</v>
      </c>
      <c r="E9" s="9" t="n">
        <v>161336</v>
      </c>
      <c r="F9" s="9" t="n">
        <v>28086</v>
      </c>
      <c r="G9" s="9" t="n">
        <v>12197024</v>
      </c>
      <c r="H9" s="9">
        <f>D9+E9+G9</f>
        <v/>
      </c>
    </row>
    <row r="10">
      <c r="A10" s="26" t="inlineStr">
        <is>
          <t>Phase 4</t>
        </is>
      </c>
      <c r="B10" s="12" t="inlineStr">
        <is>
          <t>Arch, Code, Plan</t>
        </is>
      </c>
      <c r="C10" s="14" t="n">
        <v>143</v>
      </c>
      <c r="D10" s="14" t="n">
        <v>858654</v>
      </c>
      <c r="E10" s="14" t="n">
        <v>97255</v>
      </c>
      <c r="F10" s="14" t="n">
        <v>22301</v>
      </c>
      <c r="G10" s="14" t="n">
        <v>13641792</v>
      </c>
      <c r="H10" s="14">
        <f>D10+E10+G10</f>
        <v/>
      </c>
    </row>
    <row r="11">
      <c r="A11" s="27" t="inlineStr">
        <is>
          <t>Phase 5</t>
        </is>
      </c>
      <c r="B11" s="7" t="inlineStr">
        <is>
          <t>Arch, Code, Plan</t>
        </is>
      </c>
      <c r="C11" s="9" t="n">
        <v>101</v>
      </c>
      <c r="D11" s="9" t="n">
        <v>644095</v>
      </c>
      <c r="E11" s="9" t="n">
        <v>64255</v>
      </c>
      <c r="F11" s="9" t="n">
        <v>17535</v>
      </c>
      <c r="G11" s="9" t="n">
        <v>10299776</v>
      </c>
      <c r="H11" s="9">
        <f>D11+E11+G11</f>
        <v/>
      </c>
    </row>
    <row r="12">
      <c r="A12" s="26" t="inlineStr">
        <is>
          <t>Phase 6</t>
        </is>
      </c>
      <c r="B12" s="12" t="inlineStr">
        <is>
          <t>Arch, Code, Plan</t>
        </is>
      </c>
      <c r="C12" s="14" t="n">
        <v>124</v>
      </c>
      <c r="D12" s="14" t="n">
        <v>696563</v>
      </c>
      <c r="E12" s="14" t="n">
        <v>56540</v>
      </c>
      <c r="F12" s="14" t="n">
        <v>12031</v>
      </c>
      <c r="G12" s="14" t="n">
        <v>11077888</v>
      </c>
      <c r="H12" s="14">
        <f>D12+E12+G12</f>
        <v/>
      </c>
    </row>
    <row r="13">
      <c r="A13" s="27" t="inlineStr">
        <is>
          <t>Phase 7</t>
        </is>
      </c>
      <c r="B13" s="7" t="inlineStr">
        <is>
          <t>Arch, Code, Plan</t>
        </is>
      </c>
      <c r="C13" s="9" t="n">
        <v>186</v>
      </c>
      <c r="D13" s="9" t="n">
        <v>1282522</v>
      </c>
      <c r="E13" s="9" t="n">
        <v>72213</v>
      </c>
      <c r="F13" s="9" t="n">
        <v>52381</v>
      </c>
      <c r="G13" s="9" t="n">
        <v>14276928</v>
      </c>
      <c r="H13" s="9">
        <f>D13+E13+G13</f>
        <v/>
      </c>
    </row>
    <row r="14">
      <c r="A14" s="26" t="inlineStr">
        <is>
          <t>Phase 8</t>
        </is>
      </c>
      <c r="B14" s="12" t="inlineStr">
        <is>
          <t>Arch, Code, Plan</t>
        </is>
      </c>
      <c r="C14" s="14" t="n">
        <v>85</v>
      </c>
      <c r="D14" s="14" t="n">
        <v>438589</v>
      </c>
      <c r="E14" s="14" t="n">
        <v>45307</v>
      </c>
      <c r="F14" s="14" t="n">
        <v>26421</v>
      </c>
      <c r="G14" s="14" t="n">
        <v>5841792</v>
      </c>
      <c r="H14" s="14">
        <f>D14+E14+G14</f>
        <v/>
      </c>
    </row>
    <row r="15">
      <c r="A15" s="27" t="inlineStr">
        <is>
          <t>Phase 9</t>
        </is>
      </c>
      <c r="B15" s="7" t="inlineStr">
        <is>
          <t>Misc, Plan</t>
        </is>
      </c>
      <c r="C15" s="9" t="n">
        <v>1322</v>
      </c>
      <c r="D15" s="9" t="n">
        <v>24911106</v>
      </c>
      <c r="E15" s="9" t="n">
        <v>483466</v>
      </c>
      <c r="F15" s="9" t="n">
        <v>614130</v>
      </c>
      <c r="G15" s="9" t="n">
        <v>104482790</v>
      </c>
      <c r="H15" s="9">
        <f>D15+E15+G15</f>
        <v/>
      </c>
    </row>
    <row r="16">
      <c r="A16" s="26" t="inlineStr">
        <is>
          <t>Misc / Unstaged Tasks</t>
        </is>
      </c>
      <c r="B16" s="12" t="inlineStr">
        <is>
          <t>Misc, Plan</t>
        </is>
      </c>
      <c r="C16" s="14" t="n">
        <v>222</v>
      </c>
      <c r="D16" s="14" t="n">
        <v>2641028</v>
      </c>
      <c r="E16" s="14" t="n">
        <v>50062</v>
      </c>
      <c r="F16" s="14" t="n">
        <v>75079</v>
      </c>
      <c r="G16" s="14" t="n">
        <v>22479488</v>
      </c>
      <c r="H16" s="14">
        <f>D16+E16+G16</f>
        <v/>
      </c>
    </row>
    <row r="17">
      <c r="A17" s="17" t="inlineStr">
        <is>
          <t>Total Token Consumption</t>
        </is>
      </c>
      <c r="B17" s="18" t="n"/>
      <c r="C17" s="19">
        <f>SUM(C6:C16)</f>
        <v/>
      </c>
      <c r="D17" s="19">
        <f>SUM(D6:D16)</f>
        <v/>
      </c>
      <c r="E17" s="19">
        <f>SUM(E6:E16)</f>
        <v/>
      </c>
      <c r="F17" s="19">
        <f>SUM(F6:F16)</f>
        <v/>
      </c>
      <c r="G17" s="19">
        <f>SUM(G6:G16)</f>
        <v/>
      </c>
      <c r="H17" s="19">
        <f>SUM(H6:H16)</f>
        <v/>
      </c>
    </row>
    <row r="18"/>
    <row r="19"/>
    <row r="20">
      <c r="A20" s="22" t="inlineStr">
        <is>
          <t>Table 2: Entire Project Stage-Wise Token Summary (Arch, Plan, Code, Misc)</t>
        </is>
      </c>
    </row>
    <row r="21">
      <c r="A21" s="4" t="inlineStr">
        <is>
          <t>Execution Stage Category</t>
        </is>
      </c>
      <c r="B21" s="4" t="inlineStr">
        <is>
          <t>Input Tokens</t>
        </is>
      </c>
      <c r="C21" s="4" t="inlineStr">
        <is>
          <t>Output Tokens</t>
        </is>
      </c>
      <c r="D21" s="4" t="inlineStr">
        <is>
          <t>Cache Read Tokens</t>
        </is>
      </c>
      <c r="E21" s="4" t="inlineStr">
        <is>
          <t>Total Tokens (In + Out + Cache)</t>
        </is>
      </c>
      <c r="F21" s="4" t="inlineStr">
        <is>
          <t>% Input Share</t>
        </is>
      </c>
      <c r="G21" s="4" t="inlineStr">
        <is>
          <t>% Output Share</t>
        </is>
      </c>
      <c r="H21" s="4" t="inlineStr">
        <is>
          <t>% Cache Share</t>
        </is>
      </c>
      <c r="I21" s="4" t="inlineStr">
        <is>
          <t>% Total Token Share</t>
        </is>
      </c>
    </row>
    <row r="22">
      <c r="A22" s="26" t="inlineStr">
        <is>
          <t>Architecture Stage</t>
        </is>
      </c>
      <c r="B22" s="14" t="n">
        <v>1795469</v>
      </c>
      <c r="C22" s="14" t="n">
        <v>213990</v>
      </c>
      <c r="D22" s="14" t="n">
        <v>12996896</v>
      </c>
      <c r="E22" s="14">
        <f>B22+C22+D22</f>
        <v/>
      </c>
      <c r="F22" s="23">
        <f>B22/B26</f>
        <v/>
      </c>
      <c r="G22" s="23">
        <f>C22/C26</f>
        <v/>
      </c>
      <c r="H22" s="23">
        <f>D22/D26</f>
        <v/>
      </c>
      <c r="I22" s="23">
        <f>E22/E26</f>
        <v/>
      </c>
    </row>
    <row r="23">
      <c r="A23" s="27" t="inlineStr">
        <is>
          <t>Planning Stage</t>
        </is>
      </c>
      <c r="B23" s="9" t="n">
        <v>3610940</v>
      </c>
      <c r="C23" s="9" t="n">
        <v>221086</v>
      </c>
      <c r="D23" s="9" t="n">
        <v>30974664</v>
      </c>
      <c r="E23" s="9">
        <f>B23+C23+D23</f>
        <v/>
      </c>
      <c r="F23" s="24">
        <f>B23/B26</f>
        <v/>
      </c>
      <c r="G23" s="24">
        <f>C23/C26</f>
        <v/>
      </c>
      <c r="H23" s="24">
        <f>D23/D26</f>
        <v/>
      </c>
      <c r="I23" s="24">
        <f>E23/E26</f>
        <v/>
      </c>
    </row>
    <row r="24">
      <c r="A24" s="26" t="inlineStr">
        <is>
          <t>Coding Stage</t>
        </is>
      </c>
      <c r="B24" s="14" t="n">
        <v>4976560</v>
      </c>
      <c r="C24" s="14" t="n">
        <v>348207</v>
      </c>
      <c r="D24" s="14" t="n">
        <v>132962832</v>
      </c>
      <c r="E24" s="14">
        <f>B24+C24+D24</f>
        <v/>
      </c>
      <c r="F24" s="23">
        <f>B24/B26</f>
        <v/>
      </c>
      <c r="G24" s="23">
        <f>C24/C26</f>
        <v/>
      </c>
      <c r="H24" s="23">
        <f>D24/D26</f>
        <v/>
      </c>
      <c r="I24" s="23">
        <f>E24/E26</f>
        <v/>
      </c>
    </row>
    <row r="25">
      <c r="A25" s="27" t="inlineStr">
        <is>
          <t>Miscellaneous &amp; Unstaged Tasks</t>
        </is>
      </c>
      <c r="B25" s="9" t="n">
        <v>26384966</v>
      </c>
      <c r="C25" s="9" t="n">
        <v>511343</v>
      </c>
      <c r="D25" s="9" t="n">
        <v>106690171</v>
      </c>
      <c r="E25" s="9">
        <f>B25+C25+D25</f>
        <v/>
      </c>
      <c r="F25" s="24">
        <f>B25/B26</f>
        <v/>
      </c>
      <c r="G25" s="24">
        <f>C25/C26</f>
        <v/>
      </c>
      <c r="H25" s="24">
        <f>D25/D26</f>
        <v/>
      </c>
      <c r="I25" s="24">
        <f>E25/E26</f>
        <v/>
      </c>
    </row>
    <row r="26">
      <c r="A26" s="17" t="inlineStr">
        <is>
          <t>Grand Total (All Stages + Misc)</t>
        </is>
      </c>
      <c r="B26" s="19">
        <f>SUM(B22:B25)</f>
        <v/>
      </c>
      <c r="C26" s="19">
        <f>SUM(C22:C25)</f>
        <v/>
      </c>
      <c r="D26" s="19">
        <f>SUM(D22:D25)</f>
        <v/>
      </c>
      <c r="E26" s="19">
        <f>SUM(E22:E25)</f>
        <v/>
      </c>
      <c r="F26" s="25">
        <f>SUM(F22:F25)</f>
        <v/>
      </c>
      <c r="G26" s="25">
        <f>SUM(G22:G25)</f>
        <v/>
      </c>
      <c r="H26" s="25">
        <f>SUM(H22:H25)</f>
        <v/>
      </c>
      <c r="I26" s="25">
        <f>SUM(I22:I25)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5" customWidth="1" min="10" max="10"/>
  </cols>
  <sheetData>
    <row r="1">
      <c r="A1" s="1" t="inlineStr">
        <is>
          <t>Standardized 3-Model Comparison &amp; Token Share</t>
        </is>
      </c>
    </row>
    <row r="2">
      <c r="A2" s="2" t="inlineStr">
        <is>
          <t>Comparative breakdown across DeepSeek V4 Flash, DeepSeek V4 Pro, and GLM 5.3</t>
        </is>
      </c>
    </row>
    <row r="4">
      <c r="A4" s="3" t="inlineStr">
        <is>
          <t>Standardized Model Group</t>
        </is>
      </c>
      <c r="B4" s="3" t="inlineStr">
        <is>
          <t>Mapped Components</t>
        </is>
      </c>
      <c r="C4" s="3" t="inlineStr">
        <is>
          <t>Execution Steps</t>
        </is>
      </c>
      <c r="D4" s="3" t="inlineStr">
        <is>
          <t>Input Tokens</t>
        </is>
      </c>
      <c r="E4" s="3" t="inlineStr">
        <is>
          <t>Output Tokens</t>
        </is>
      </c>
      <c r="F4" s="3" t="inlineStr">
        <is>
          <t>Cache Read Tokens</t>
        </is>
      </c>
      <c r="G4" s="3" t="inlineStr">
        <is>
          <t>% Input Share</t>
        </is>
      </c>
      <c r="H4" s="3" t="inlineStr">
        <is>
          <t>% Output Share</t>
        </is>
      </c>
      <c r="I4" s="3" t="inlineStr">
        <is>
          <t>% Cache Read Share</t>
        </is>
      </c>
      <c r="J4" s="3" t="inlineStr">
        <is>
          <t>% Total Token Share</t>
        </is>
      </c>
    </row>
    <row r="5">
      <c r="A5" s="26" t="inlineStr">
        <is>
          <t>DeepSeek V4 Flash</t>
        </is>
      </c>
      <c r="B5" s="13" t="inlineStr">
        <is>
          <t>Coding + Execution tasks (DeepSeek Flash + Seed Models + Gemini 3.7 Flash)</t>
        </is>
      </c>
      <c r="C5" s="14" t="n">
        <v>1185</v>
      </c>
      <c r="D5" s="14" t="n">
        <v>11459177</v>
      </c>
      <c r="E5" s="14" t="n">
        <v>518885</v>
      </c>
      <c r="F5" s="14" t="n">
        <v>160610301</v>
      </c>
      <c r="G5" s="23">
        <f>D5/D8</f>
        <v/>
      </c>
      <c r="H5" s="23">
        <f>E5/E8</f>
        <v/>
      </c>
      <c r="I5" s="23">
        <f>F5/F8</f>
        <v/>
      </c>
      <c r="J5" s="23">
        <f>(D5+E5+F5)/(D8+E8+F8)</f>
        <v/>
      </c>
    </row>
    <row r="6">
      <c r="A6" s="27" t="inlineStr">
        <is>
          <t>DeepSeek V4 Pro</t>
        </is>
      </c>
      <c r="B6" s="8" t="inlineStr">
        <is>
          <t>All Planning Stages (Phases 1-9)</t>
        </is>
      </c>
      <c r="C6" s="9" t="n">
        <v>377</v>
      </c>
      <c r="D6" s="9" t="n">
        <v>3610940</v>
      </c>
      <c r="E6" s="9" t="n">
        <v>221086</v>
      </c>
      <c r="F6" s="9" t="n">
        <v>30974664</v>
      </c>
      <c r="G6" s="24">
        <f>D6/D8</f>
        <v/>
      </c>
      <c r="H6" s="24">
        <f>E6/E8</f>
        <v/>
      </c>
      <c r="I6" s="24">
        <f>F6/F8</f>
        <v/>
      </c>
      <c r="J6" s="24">
        <f>(D6+E6+F6)/(D8+E8+F8)</f>
        <v/>
      </c>
    </row>
    <row r="7">
      <c r="A7" s="26" t="inlineStr">
        <is>
          <t>GLM 5.3</t>
        </is>
      </c>
      <c r="B7" s="13" t="inlineStr">
        <is>
          <t>Architecture &amp; Misc Analysis (GLM 5.2/Byte, Kimi K2.5/K3, Qwen, Grok)</t>
        </is>
      </c>
      <c r="C7" s="14" t="n">
        <v>1283</v>
      </c>
      <c r="D7" s="14" t="n">
        <v>21697818</v>
      </c>
      <c r="E7" s="14" t="n">
        <v>554655</v>
      </c>
      <c r="F7" s="14" t="n">
        <v>92039598</v>
      </c>
      <c r="G7" s="23">
        <f>D7/D8</f>
        <v/>
      </c>
      <c r="H7" s="23">
        <f>E7/E8</f>
        <v/>
      </c>
      <c r="I7" s="23">
        <f>F7/F8</f>
        <v/>
      </c>
      <c r="J7" s="23">
        <f>(D7+E7+F7)/(D8+E8+F8)</f>
        <v/>
      </c>
    </row>
    <row r="8">
      <c r="A8" s="17" t="inlineStr">
        <is>
          <t>Total</t>
        </is>
      </c>
      <c r="B8" s="18" t="n"/>
      <c r="C8" s="19">
        <f>SUM(C5:C7)</f>
        <v/>
      </c>
      <c r="D8" s="19">
        <f>SUM(D5:D7)</f>
        <v/>
      </c>
      <c r="E8" s="19">
        <f>SUM(E5:E7)</f>
        <v/>
      </c>
      <c r="F8" s="19">
        <f>SUM(F5:F7)</f>
        <v/>
      </c>
      <c r="G8" s="25">
        <f>SUM(G5:G7)</f>
        <v/>
      </c>
      <c r="H8" s="25">
        <f>SUM(H5:H7)</f>
        <v/>
      </c>
      <c r="I8" s="25">
        <f>SUM(I5:I7)</f>
        <v/>
      </c>
      <c r="J8" s="25">
        <f>SUM(J5:J7)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23" customWidth="1" min="3" max="3"/>
    <col width="24" customWidth="1" min="4" max="4"/>
    <col width="13" customWidth="1" min="5" max="5"/>
    <col width="26" customWidth="1" min="6" max="6"/>
    <col width="28" customWidth="1" min="7" max="7"/>
    <col width="21" customWidth="1" min="8" max="8"/>
    <col width="26" customWidth="1" min="9" max="9"/>
    <col width="32" customWidth="1" min="10" max="10"/>
  </cols>
  <sheetData>
    <row r="1">
      <c r="A1" s="1" t="inlineStr">
        <is>
          <t>GLM Pro &amp; GLM Lite 5-Hour Capacity, Overages &amp; Limit Audit</t>
        </is>
      </c>
    </row>
    <row r="2">
      <c r="A2" s="2" t="inlineStr">
        <is>
          <t>Official Z.AI DevPack Rule: Off-peak hours charged at 50% standard credits. Multipliers: In 6.9, Cache 1.7, Out 24.</t>
        </is>
      </c>
    </row>
    <row r="4">
      <c r="A4" s="22" t="inlineStr">
        <is>
          <t>Section 1: GLM Pro Plan ($80 USD / 60k Weekly Credits, 12,000 / 5-Hr Limit) - 100% on GLM 5.3</t>
        </is>
      </c>
    </row>
    <row r="5">
      <c r="A5" s="3" t="inlineStr">
        <is>
          <t>Day</t>
        </is>
      </c>
      <c r="B5" s="3" t="inlineStr">
        <is>
          <t>Time Slot (AEST)</t>
        </is>
      </c>
      <c r="C5" s="3" t="inlineStr">
        <is>
          <t>GLM Pricing Window</t>
        </is>
      </c>
      <c r="D5" s="3" t="inlineStr">
        <is>
          <t>Slot Demanded Credits</t>
        </is>
      </c>
      <c r="E5" s="3" t="inlineStr">
        <is>
          <t>5-Hr Limit</t>
        </is>
      </c>
      <c r="F5" s="3" t="inlineStr">
        <is>
          <t>5-Hr Status</t>
        </is>
      </c>
      <c r="G5" s="3" t="inlineStr">
        <is>
          <t>Spillover Credits</t>
        </is>
      </c>
      <c r="H5" s="3" t="inlineStr">
        <is>
          <t>Cumulative Credits</t>
        </is>
      </c>
      <c r="I5" s="3" t="inlineStr">
        <is>
          <t>Weekly Limit (60k)</t>
        </is>
      </c>
      <c r="J5" s="3" t="inlineStr">
        <is>
          <t>Weekly Cap Status</t>
        </is>
      </c>
    </row>
    <row r="6">
      <c r="A6" s="12" t="inlineStr">
        <is>
          <t>Day 1</t>
        </is>
      </c>
      <c r="B6" s="12" t="inlineStr">
        <is>
          <t>05:00 - 10:00</t>
        </is>
      </c>
      <c r="C6" s="12" t="inlineStr">
        <is>
          <t>Off-Peak (50% Disc.)</t>
        </is>
      </c>
      <c r="D6" s="16" t="n">
        <v>353.23</v>
      </c>
      <c r="E6" s="16" t="n">
        <v>12000</v>
      </c>
      <c r="F6" s="28" t="inlineStr">
        <is>
          <t>OK (Within Limit)</t>
        </is>
      </c>
      <c r="G6" s="16" t="n">
        <v>0</v>
      </c>
      <c r="H6" s="16" t="n">
        <v>353.23</v>
      </c>
      <c r="I6" s="16" t="n">
        <v>60000</v>
      </c>
      <c r="J6" s="28" t="inlineStr">
        <is>
          <t>OK (Within Limit)</t>
        </is>
      </c>
    </row>
    <row r="7">
      <c r="A7" s="7" t="inlineStr">
        <is>
          <t>Day 2</t>
        </is>
      </c>
      <c r="B7" s="7" t="inlineStr">
        <is>
          <t>05:00 - 10:00</t>
        </is>
      </c>
      <c r="C7" s="7" t="inlineStr">
        <is>
          <t>Off-Peak (50% Disc.)</t>
        </is>
      </c>
      <c r="D7" s="11" t="n">
        <v>8257.309999999999</v>
      </c>
      <c r="E7" s="11" t="n">
        <v>12000</v>
      </c>
      <c r="F7" s="28" t="inlineStr">
        <is>
          <t>OK (Within Limit)</t>
        </is>
      </c>
      <c r="G7" s="11" t="n">
        <v>0</v>
      </c>
      <c r="H7" s="11" t="n">
        <v>8610.549999999999</v>
      </c>
      <c r="I7" s="11" t="n">
        <v>60000</v>
      </c>
      <c r="J7" s="28" t="inlineStr">
        <is>
          <t>OK (Within Limit)</t>
        </is>
      </c>
    </row>
    <row r="8">
      <c r="A8" s="12" t="inlineStr">
        <is>
          <t>Day 3</t>
        </is>
      </c>
      <c r="B8" s="12" t="inlineStr">
        <is>
          <t>05:00 - 10:00</t>
        </is>
      </c>
      <c r="C8" s="12" t="inlineStr">
        <is>
          <t>Off-Peak (50% Disc.)</t>
        </is>
      </c>
      <c r="D8" s="16" t="n">
        <v>5103.83</v>
      </c>
      <c r="E8" s="16" t="n">
        <v>12000</v>
      </c>
      <c r="F8" s="28" t="inlineStr">
        <is>
          <t>OK (Within Limit)</t>
        </is>
      </c>
      <c r="G8" s="16" t="n">
        <v>0</v>
      </c>
      <c r="H8" s="16" t="n">
        <v>13714.38</v>
      </c>
      <c r="I8" s="16" t="n">
        <v>60000</v>
      </c>
      <c r="J8" s="28" t="inlineStr">
        <is>
          <t>OK (Within Limit)</t>
        </is>
      </c>
    </row>
    <row r="9">
      <c r="A9" s="7" t="inlineStr">
        <is>
          <t>Day 3</t>
        </is>
      </c>
      <c r="B9" s="7" t="inlineStr">
        <is>
          <t>11:00 - 16:00</t>
        </is>
      </c>
      <c r="C9" s="7" t="inlineStr">
        <is>
          <t>Off-Peak (50% Disc.)</t>
        </is>
      </c>
      <c r="D9" s="11" t="n">
        <v>1324.76</v>
      </c>
      <c r="E9" s="11" t="n">
        <v>12000</v>
      </c>
      <c r="F9" s="28" t="inlineStr">
        <is>
          <t>OK (Within Limit)</t>
        </is>
      </c>
      <c r="G9" s="11" t="n">
        <v>0</v>
      </c>
      <c r="H9" s="11" t="n">
        <v>15039.14</v>
      </c>
      <c r="I9" s="11" t="n">
        <v>60000</v>
      </c>
      <c r="J9" s="28" t="inlineStr">
        <is>
          <t>OK (Within Limit)</t>
        </is>
      </c>
    </row>
    <row r="10">
      <c r="A10" s="12" t="inlineStr">
        <is>
          <t>Day 3</t>
        </is>
      </c>
      <c r="B10" s="12" t="inlineStr">
        <is>
          <t>16:00 - 20:00</t>
        </is>
      </c>
      <c r="C10" s="12" t="inlineStr">
        <is>
          <t>Off-Peak (50% Disc.)</t>
        </is>
      </c>
      <c r="D10" s="16" t="n">
        <v>1742.66</v>
      </c>
      <c r="E10" s="16" t="n">
        <v>12000</v>
      </c>
      <c r="F10" s="28" t="inlineStr">
        <is>
          <t>OK (Within Limit)</t>
        </is>
      </c>
      <c r="G10" s="16" t="n">
        <v>0</v>
      </c>
      <c r="H10" s="16" t="n">
        <v>16781.8</v>
      </c>
      <c r="I10" s="16" t="n">
        <v>60000</v>
      </c>
      <c r="J10" s="28" t="inlineStr">
        <is>
          <t>OK (Within Limit)</t>
        </is>
      </c>
    </row>
    <row r="11">
      <c r="A11" s="7" t="inlineStr">
        <is>
          <t>Day 4</t>
        </is>
      </c>
      <c r="B11" s="7" t="inlineStr">
        <is>
          <t>05:00 - 10:00</t>
        </is>
      </c>
      <c r="C11" s="7" t="inlineStr">
        <is>
          <t>Off-Peak (50% Disc.)</t>
        </is>
      </c>
      <c r="D11" s="11" t="n">
        <v>2987.36</v>
      </c>
      <c r="E11" s="11" t="n">
        <v>12000</v>
      </c>
      <c r="F11" s="28" t="inlineStr">
        <is>
          <t>OK (Within Limit)</t>
        </is>
      </c>
      <c r="G11" s="11" t="n">
        <v>0</v>
      </c>
      <c r="H11" s="11" t="n">
        <v>19769.17</v>
      </c>
      <c r="I11" s="11" t="n">
        <v>60000</v>
      </c>
      <c r="J11" s="28" t="inlineStr">
        <is>
          <t>OK (Within Limit)</t>
        </is>
      </c>
    </row>
    <row r="12">
      <c r="A12" s="12" t="inlineStr">
        <is>
          <t>Day 4</t>
        </is>
      </c>
      <c r="B12" s="12" t="inlineStr">
        <is>
          <t>10:00 - 15:00</t>
        </is>
      </c>
      <c r="C12" s="12" t="inlineStr">
        <is>
          <t>Off-Peak (50% Disc.)</t>
        </is>
      </c>
      <c r="D12" s="16" t="n">
        <v>2318.09</v>
      </c>
      <c r="E12" s="16" t="n">
        <v>12000</v>
      </c>
      <c r="F12" s="28" t="inlineStr">
        <is>
          <t>OK (Within Limit)</t>
        </is>
      </c>
      <c r="G12" s="16" t="n">
        <v>0</v>
      </c>
      <c r="H12" s="16" t="n">
        <v>22087.26</v>
      </c>
      <c r="I12" s="16" t="n">
        <v>60000</v>
      </c>
      <c r="J12" s="28" t="inlineStr">
        <is>
          <t>OK (Within Limit)</t>
        </is>
      </c>
    </row>
    <row r="13">
      <c r="A13" s="7" t="inlineStr">
        <is>
          <t>Day 4</t>
        </is>
      </c>
      <c r="B13" s="7" t="inlineStr">
        <is>
          <t>15:00 - 20:00</t>
        </is>
      </c>
      <c r="C13" s="7" t="inlineStr">
        <is>
          <t>Off-Peak (50% Disc.)</t>
        </is>
      </c>
      <c r="D13" s="11" t="n">
        <v>2292.62</v>
      </c>
      <c r="E13" s="11" t="n">
        <v>12000</v>
      </c>
      <c r="F13" s="28" t="inlineStr">
        <is>
          <t>OK (Within Limit)</t>
        </is>
      </c>
      <c r="G13" s="11" t="n">
        <v>0</v>
      </c>
      <c r="H13" s="11" t="n">
        <v>24379.87</v>
      </c>
      <c r="I13" s="11" t="n">
        <v>60000</v>
      </c>
      <c r="J13" s="28" t="inlineStr">
        <is>
          <t>OK (Within Limit)</t>
        </is>
      </c>
    </row>
    <row r="14">
      <c r="A14" s="12" t="inlineStr">
        <is>
          <t>Day 4</t>
        </is>
      </c>
      <c r="B14" s="12" t="inlineStr">
        <is>
          <t>20:01 - 01:00</t>
        </is>
      </c>
      <c r="C14" s="12" t="inlineStr">
        <is>
          <t>Off-Peak (50% Disc.)</t>
        </is>
      </c>
      <c r="D14" s="16" t="n">
        <v>501.19</v>
      </c>
      <c r="E14" s="16" t="n">
        <v>12000</v>
      </c>
      <c r="F14" s="28" t="inlineStr">
        <is>
          <t>OK (Within Limit)</t>
        </is>
      </c>
      <c r="G14" s="16" t="n">
        <v>0</v>
      </c>
      <c r="H14" s="16" t="n">
        <v>24881.06</v>
      </c>
      <c r="I14" s="16" t="n">
        <v>60000</v>
      </c>
      <c r="J14" s="28" t="inlineStr">
        <is>
          <t>OK (Within Limit)</t>
        </is>
      </c>
    </row>
    <row r="15">
      <c r="A15" s="7" t="inlineStr">
        <is>
          <t>Day 5</t>
        </is>
      </c>
      <c r="B15" s="7" t="inlineStr">
        <is>
          <t>05:01 - 10:00</t>
        </is>
      </c>
      <c r="C15" s="7" t="inlineStr">
        <is>
          <t>Off-Peak (50% Disc.)</t>
        </is>
      </c>
      <c r="D15" s="11" t="n">
        <v>3780.22</v>
      </c>
      <c r="E15" s="11" t="n">
        <v>12000</v>
      </c>
      <c r="F15" s="28" t="inlineStr">
        <is>
          <t>OK (Within Limit)</t>
        </is>
      </c>
      <c r="G15" s="11" t="n">
        <v>0</v>
      </c>
      <c r="H15" s="11" t="n">
        <v>28661.28</v>
      </c>
      <c r="I15" s="11" t="n">
        <v>60000</v>
      </c>
      <c r="J15" s="28" t="inlineStr">
        <is>
          <t>OK (Within Limit)</t>
        </is>
      </c>
    </row>
    <row r="16">
      <c r="A16" s="12" t="inlineStr">
        <is>
          <t>Day 5</t>
        </is>
      </c>
      <c r="B16" s="12" t="inlineStr">
        <is>
          <t>10:01 - 15:00</t>
        </is>
      </c>
      <c r="C16" s="12" t="inlineStr">
        <is>
          <t>Off-Peak (50% Disc.)</t>
        </is>
      </c>
      <c r="D16" s="16" t="n">
        <v>937.64</v>
      </c>
      <c r="E16" s="16" t="n">
        <v>12000</v>
      </c>
      <c r="F16" s="28" t="inlineStr">
        <is>
          <t>OK (Within Limit)</t>
        </is>
      </c>
      <c r="G16" s="16" t="n">
        <v>0</v>
      </c>
      <c r="H16" s="16" t="n">
        <v>29598.92</v>
      </c>
      <c r="I16" s="16" t="n">
        <v>60000</v>
      </c>
      <c r="J16" s="28" t="inlineStr">
        <is>
          <t>OK (Within Limit)</t>
        </is>
      </c>
    </row>
    <row r="17">
      <c r="A17" s="7" t="inlineStr">
        <is>
          <t>Day 5</t>
        </is>
      </c>
      <c r="B17" s="7" t="inlineStr">
        <is>
          <t>15:01 - 20:00</t>
        </is>
      </c>
      <c r="C17" s="7" t="inlineStr">
        <is>
          <t>PEAK (100%)</t>
        </is>
      </c>
      <c r="D17" s="11" t="n">
        <v>11340.35</v>
      </c>
      <c r="E17" s="11" t="n">
        <v>12000</v>
      </c>
      <c r="F17" s="28" t="inlineStr">
        <is>
          <t>OK (Within Limit)</t>
        </is>
      </c>
      <c r="G17" s="11" t="n">
        <v>0</v>
      </c>
      <c r="H17" s="11" t="n">
        <v>40939.27</v>
      </c>
      <c r="I17" s="11" t="n">
        <v>60000</v>
      </c>
      <c r="J17" s="28" t="inlineStr">
        <is>
          <t>OK (Within Limit)</t>
        </is>
      </c>
    </row>
    <row r="18">
      <c r="A18" s="12" t="inlineStr">
        <is>
          <t>Day 5</t>
        </is>
      </c>
      <c r="B18" s="12" t="inlineStr">
        <is>
          <t>20:01 - 01:00</t>
        </is>
      </c>
      <c r="C18" s="12" t="inlineStr">
        <is>
          <t>Off-Peak (50% Disc.)</t>
        </is>
      </c>
      <c r="D18" s="16" t="n">
        <v>1890.56</v>
      </c>
      <c r="E18" s="16" t="n">
        <v>12000</v>
      </c>
      <c r="F18" s="28" t="inlineStr">
        <is>
          <t>OK (Within Limit)</t>
        </is>
      </c>
      <c r="G18" s="16" t="n">
        <v>0</v>
      </c>
      <c r="H18" s="16" t="n">
        <v>42829.84</v>
      </c>
      <c r="I18" s="16" t="n">
        <v>60000</v>
      </c>
      <c r="J18" s="28" t="inlineStr">
        <is>
          <t>OK (Within Limit)</t>
        </is>
      </c>
    </row>
    <row r="19">
      <c r="A19" s="7" t="inlineStr">
        <is>
          <t>Day 6</t>
        </is>
      </c>
      <c r="B19" s="7" t="inlineStr">
        <is>
          <t>05:01 - 10:00</t>
        </is>
      </c>
      <c r="C19" s="7" t="inlineStr">
        <is>
          <t>Off-Peak (50% Disc.)</t>
        </is>
      </c>
      <c r="D19" s="11" t="n">
        <v>814.16</v>
      </c>
      <c r="E19" s="11" t="n">
        <v>12000</v>
      </c>
      <c r="F19" s="28" t="inlineStr">
        <is>
          <t>OK (Within Limit)</t>
        </is>
      </c>
      <c r="G19" s="11" t="n">
        <v>0</v>
      </c>
      <c r="H19" s="11" t="n">
        <v>43644</v>
      </c>
      <c r="I19" s="11" t="n">
        <v>60000</v>
      </c>
      <c r="J19" s="28" t="inlineStr">
        <is>
          <t>OK (Within Limit)</t>
        </is>
      </c>
    </row>
    <row r="20">
      <c r="A20" s="12" t="inlineStr">
        <is>
          <t>Day 6</t>
        </is>
      </c>
      <c r="B20" s="12" t="inlineStr">
        <is>
          <t>15:01 - 20:00</t>
        </is>
      </c>
      <c r="C20" s="12" t="inlineStr">
        <is>
          <t>PEAK (100%)</t>
        </is>
      </c>
      <c r="D20" s="16" t="n">
        <v>745.5</v>
      </c>
      <c r="E20" s="16" t="n">
        <v>12000</v>
      </c>
      <c r="F20" s="28" t="inlineStr">
        <is>
          <t>OK (Within Limit)</t>
        </is>
      </c>
      <c r="G20" s="16" t="n">
        <v>0</v>
      </c>
      <c r="H20" s="16" t="n">
        <v>44389.5</v>
      </c>
      <c r="I20" s="16" t="n">
        <v>60000</v>
      </c>
      <c r="J20" s="28" t="inlineStr">
        <is>
          <t>OK (Within Limit)</t>
        </is>
      </c>
    </row>
    <row r="23">
      <c r="A23" s="22" t="inlineStr">
        <is>
          <t>Section 2: GLM Lite Plan ($18 USD / 10k Weekly Credits, 2,000 / 5-Hr Limit) - Non-DeepSeek Tasks on GLM 5.3</t>
        </is>
      </c>
    </row>
    <row r="24">
      <c r="A24" s="6" t="inlineStr">
        <is>
          <t>Day</t>
        </is>
      </c>
      <c r="B24" s="6" t="inlineStr">
        <is>
          <t>Time Slot (AEST)</t>
        </is>
      </c>
      <c r="C24" s="6" t="inlineStr">
        <is>
          <t>GLM Pricing Window</t>
        </is>
      </c>
      <c r="D24" s="6" t="inlineStr">
        <is>
          <t>GLM Demanded Credits</t>
        </is>
      </c>
      <c r="E24" s="6" t="inlineStr">
        <is>
          <t>5-Hr Limit</t>
        </is>
      </c>
      <c r="F24" s="6" t="inlineStr">
        <is>
          <t>Credits Covered by Plan</t>
        </is>
      </c>
      <c r="G24" s="6" t="inlineStr">
        <is>
          <t>5-Hour Window Status</t>
        </is>
      </c>
      <c r="H24" s="6" t="inlineStr">
        <is>
          <t>Spillover Credits</t>
        </is>
      </c>
      <c r="I24" s="6" t="inlineStr">
        <is>
          <t>Cumulative Plan Credits</t>
        </is>
      </c>
      <c r="J24" s="6" t="inlineStr">
        <is>
          <t>Weekly Limit Status (10k Cap)</t>
        </is>
      </c>
    </row>
    <row r="25">
      <c r="A25" s="7" t="inlineStr">
        <is>
          <t>Day 1</t>
        </is>
      </c>
      <c r="B25" s="7" t="inlineStr">
        <is>
          <t>05:00 - 10:00</t>
        </is>
      </c>
      <c r="C25" s="7" t="inlineStr">
        <is>
          <t>Off-Peak (50% Disc.)</t>
        </is>
      </c>
      <c r="D25" s="11" t="n">
        <v>103.1</v>
      </c>
      <c r="E25" s="11" t="n">
        <v>2000</v>
      </c>
      <c r="F25" s="11" t="n">
        <v>103.1</v>
      </c>
      <c r="G25" s="28" t="inlineStr">
        <is>
          <t>UNDER (Within 2k)</t>
        </is>
      </c>
      <c r="H25" s="11" t="n">
        <v>0</v>
      </c>
      <c r="I25" s="11" t="n">
        <v>103.1</v>
      </c>
      <c r="J25" s="28" t="inlineStr">
        <is>
          <t>9,896.9 cr rem.</t>
        </is>
      </c>
    </row>
    <row r="26">
      <c r="A26" s="12" t="inlineStr">
        <is>
          <t>Day 2</t>
        </is>
      </c>
      <c r="B26" s="12" t="inlineStr">
        <is>
          <t>05:00 - 10:00</t>
        </is>
      </c>
      <c r="C26" s="12" t="inlineStr">
        <is>
          <t>Off-Peak (50% Disc.)</t>
        </is>
      </c>
      <c r="D26" s="16" t="n">
        <v>0</v>
      </c>
      <c r="E26" s="16" t="n">
        <v>2000</v>
      </c>
      <c r="F26" s="16" t="n">
        <v>0</v>
      </c>
      <c r="G26" s="28" t="inlineStr">
        <is>
          <t>UNDER (Within 2k)</t>
        </is>
      </c>
      <c r="H26" s="16" t="n">
        <v>0</v>
      </c>
      <c r="I26" s="16" t="n">
        <v>103.1</v>
      </c>
      <c r="J26" s="28" t="inlineStr">
        <is>
          <t>9,896.9 cr rem.</t>
        </is>
      </c>
    </row>
    <row r="27">
      <c r="A27" s="7" t="inlineStr">
        <is>
          <t>Day 3</t>
        </is>
      </c>
      <c r="B27" s="7" t="inlineStr">
        <is>
          <t>05:00 - 10:00</t>
        </is>
      </c>
      <c r="C27" s="7" t="inlineStr">
        <is>
          <t>Off-Peak (50% Disc.)</t>
        </is>
      </c>
      <c r="D27" s="11" t="n">
        <v>513.14</v>
      </c>
      <c r="E27" s="11" t="n">
        <v>2000</v>
      </c>
      <c r="F27" s="11" t="n">
        <v>513.14</v>
      </c>
      <c r="G27" s="28" t="inlineStr">
        <is>
          <t>UNDER (Within 2k)</t>
        </is>
      </c>
      <c r="H27" s="11" t="n">
        <v>0</v>
      </c>
      <c r="I27" s="11" t="n">
        <v>616.24</v>
      </c>
      <c r="J27" s="28" t="inlineStr">
        <is>
          <t>9,383.8 cr rem.</t>
        </is>
      </c>
    </row>
    <row r="28">
      <c r="A28" s="12" t="inlineStr">
        <is>
          <t>Day 3</t>
        </is>
      </c>
      <c r="B28" s="12" t="inlineStr">
        <is>
          <t>11:00 - 16:00</t>
        </is>
      </c>
      <c r="C28" s="12" t="inlineStr">
        <is>
          <t>Off-Peak (50% Disc.)</t>
        </is>
      </c>
      <c r="D28" s="16" t="n">
        <v>41.38</v>
      </c>
      <c r="E28" s="16" t="n">
        <v>2000</v>
      </c>
      <c r="F28" s="16" t="n">
        <v>41.38</v>
      </c>
      <c r="G28" s="28" t="inlineStr">
        <is>
          <t>UNDER (Within 2k)</t>
        </is>
      </c>
      <c r="H28" s="16" t="n">
        <v>0</v>
      </c>
      <c r="I28" s="16" t="n">
        <v>657.62</v>
      </c>
      <c r="J28" s="28" t="inlineStr">
        <is>
          <t>9,342.4 cr rem.</t>
        </is>
      </c>
    </row>
    <row r="29">
      <c r="A29" s="7" t="inlineStr">
        <is>
          <t>Day 3</t>
        </is>
      </c>
      <c r="B29" s="7" t="inlineStr">
        <is>
          <t>16:00 - 20:00</t>
        </is>
      </c>
      <c r="C29" s="7" t="inlineStr">
        <is>
          <t>Off-Peak (50% Disc.)</t>
        </is>
      </c>
      <c r="D29" s="11" t="n">
        <v>156.89</v>
      </c>
      <c r="E29" s="11" t="n">
        <v>2000</v>
      </c>
      <c r="F29" s="11" t="n">
        <v>156.89</v>
      </c>
      <c r="G29" s="28" t="inlineStr">
        <is>
          <t>UNDER (Within 2k)</t>
        </is>
      </c>
      <c r="H29" s="11" t="n">
        <v>0</v>
      </c>
      <c r="I29" s="11" t="n">
        <v>814.51</v>
      </c>
      <c r="J29" s="28" t="inlineStr">
        <is>
          <t>9,185.5 cr rem.</t>
        </is>
      </c>
    </row>
    <row r="30">
      <c r="A30" s="12" t="inlineStr">
        <is>
          <t>Day 4</t>
        </is>
      </c>
      <c r="B30" s="12" t="inlineStr">
        <is>
          <t>05:00 - 10:00</t>
        </is>
      </c>
      <c r="C30" s="12" t="inlineStr">
        <is>
          <t>Off-Peak (50% Disc.)</t>
        </is>
      </c>
      <c r="D30" s="16" t="n">
        <v>2383.32</v>
      </c>
      <c r="E30" s="16" t="n">
        <v>2000</v>
      </c>
      <c r="F30" s="16" t="n">
        <v>2000</v>
      </c>
      <c r="G30" s="29" t="inlineStr">
        <is>
          <t>OVER (Breach +383.3 cr)</t>
        </is>
      </c>
      <c r="H30" s="16" t="n">
        <v>383.32</v>
      </c>
      <c r="I30" s="16" t="n">
        <v>2814.51</v>
      </c>
      <c r="J30" s="28" t="inlineStr">
        <is>
          <t>7,185.5 cr rem.</t>
        </is>
      </c>
    </row>
    <row r="31">
      <c r="A31" s="7" t="inlineStr">
        <is>
          <t>Day 4</t>
        </is>
      </c>
      <c r="B31" s="7" t="inlineStr">
        <is>
          <t>10:00 - 15:00</t>
        </is>
      </c>
      <c r="C31" s="7" t="inlineStr">
        <is>
          <t>Off-Peak (50% Disc.)</t>
        </is>
      </c>
      <c r="D31" s="11" t="n">
        <v>1703.45</v>
      </c>
      <c r="E31" s="11" t="n">
        <v>2000</v>
      </c>
      <c r="F31" s="11" t="n">
        <v>1703.45</v>
      </c>
      <c r="G31" s="28" t="inlineStr">
        <is>
          <t>UNDER (Within 2k)</t>
        </is>
      </c>
      <c r="H31" s="11" t="n">
        <v>0</v>
      </c>
      <c r="I31" s="11" t="n">
        <v>4517.96</v>
      </c>
      <c r="J31" s="28" t="inlineStr">
        <is>
          <t>5,482.0 cr rem.</t>
        </is>
      </c>
    </row>
    <row r="32">
      <c r="A32" s="12" t="inlineStr">
        <is>
          <t>Day 4</t>
        </is>
      </c>
      <c r="B32" s="12" t="inlineStr">
        <is>
          <t>15:00 - 20:00</t>
        </is>
      </c>
      <c r="C32" s="12" t="inlineStr">
        <is>
          <t>Off-Peak (50% Disc.)</t>
        </is>
      </c>
      <c r="D32" s="16" t="n">
        <v>2236.24</v>
      </c>
      <c r="E32" s="16" t="n">
        <v>2000</v>
      </c>
      <c r="F32" s="16" t="n">
        <v>2000</v>
      </c>
      <c r="G32" s="29" t="inlineStr">
        <is>
          <t>OVER (Breach +236.2 cr)</t>
        </is>
      </c>
      <c r="H32" s="16" t="n">
        <v>236.24</v>
      </c>
      <c r="I32" s="16" t="n">
        <v>6517.96</v>
      </c>
      <c r="J32" s="28" t="inlineStr">
        <is>
          <t>3,482.0 cr rem.</t>
        </is>
      </c>
    </row>
    <row r="33">
      <c r="A33" s="7" t="inlineStr">
        <is>
          <t>Day 4</t>
        </is>
      </c>
      <c r="B33" s="7" t="inlineStr">
        <is>
          <t>20:01 - 01:00</t>
        </is>
      </c>
      <c r="C33" s="7" t="inlineStr">
        <is>
          <t>Off-Peak (50% Disc.)</t>
        </is>
      </c>
      <c r="D33" s="11" t="n">
        <v>225.24</v>
      </c>
      <c r="E33" s="11" t="n">
        <v>2000</v>
      </c>
      <c r="F33" s="11" t="n">
        <v>225.24</v>
      </c>
      <c r="G33" s="28" t="inlineStr">
        <is>
          <t>UNDER (Within 2k)</t>
        </is>
      </c>
      <c r="H33" s="11" t="n">
        <v>0</v>
      </c>
      <c r="I33" s="11" t="n">
        <v>6743.19</v>
      </c>
      <c r="J33" s="28" t="inlineStr">
        <is>
          <t>3,256.8 cr rem.</t>
        </is>
      </c>
    </row>
    <row r="34">
      <c r="A34" s="12" t="inlineStr">
        <is>
          <t>Day 5</t>
        </is>
      </c>
      <c r="B34" s="12" t="inlineStr">
        <is>
          <t>05:01 - 10:00</t>
        </is>
      </c>
      <c r="C34" s="12" t="inlineStr">
        <is>
          <t>Off-Peak (50% Disc.)</t>
        </is>
      </c>
      <c r="D34" s="16" t="n">
        <v>1843.27</v>
      </c>
      <c r="E34" s="16" t="n">
        <v>2000</v>
      </c>
      <c r="F34" s="16" t="n">
        <v>1843.27</v>
      </c>
      <c r="G34" s="28" t="inlineStr">
        <is>
          <t>UNDER (Within 2k)</t>
        </is>
      </c>
      <c r="H34" s="16" t="n">
        <v>0</v>
      </c>
      <c r="I34" s="16" t="n">
        <v>8586.469999999999</v>
      </c>
      <c r="J34" s="28" t="inlineStr">
        <is>
          <t>1,413.5 cr rem.</t>
        </is>
      </c>
    </row>
    <row r="35">
      <c r="A35" s="7" t="inlineStr">
        <is>
          <t>Day 5</t>
        </is>
      </c>
      <c r="B35" s="7" t="inlineStr">
        <is>
          <t>10:01 - 15:00</t>
        </is>
      </c>
      <c r="C35" s="7" t="inlineStr">
        <is>
          <t>Off-Peak (50% Disc.)</t>
        </is>
      </c>
      <c r="D35" s="11" t="n">
        <v>828.03</v>
      </c>
      <c r="E35" s="11" t="n">
        <v>2000</v>
      </c>
      <c r="F35" s="11" t="n">
        <v>828.03</v>
      </c>
      <c r="G35" s="28" t="inlineStr">
        <is>
          <t>UNDER (Within 2k)</t>
        </is>
      </c>
      <c r="H35" s="11" t="n">
        <v>0</v>
      </c>
      <c r="I35" s="11" t="n">
        <v>9414.49</v>
      </c>
      <c r="J35" s="28" t="inlineStr">
        <is>
          <t>585.5 cr rem.</t>
        </is>
      </c>
    </row>
    <row r="36">
      <c r="A36" s="12" t="inlineStr">
        <is>
          <t>Day 5</t>
        </is>
      </c>
      <c r="B36" s="12" t="inlineStr">
        <is>
          <t>15:01 - 20:00</t>
        </is>
      </c>
      <c r="C36" s="12" t="inlineStr">
        <is>
          <t>PEAK (100%)</t>
        </is>
      </c>
      <c r="D36" s="16" t="n">
        <v>11340.35</v>
      </c>
      <c r="E36" s="16" t="n">
        <v>2000</v>
      </c>
      <c r="F36" s="16" t="n">
        <v>585.51</v>
      </c>
      <c r="G36" s="29" t="inlineStr">
        <is>
          <t>OVER (Breach +9,340.4 cr)</t>
        </is>
      </c>
      <c r="H36" s="16" t="n">
        <v>10754.85</v>
      </c>
      <c r="I36" s="16" t="n">
        <v>10000</v>
      </c>
      <c r="J36" s="29" t="inlineStr">
        <is>
          <t>EXHAUSTED (10k Cap)</t>
        </is>
      </c>
    </row>
    <row r="37">
      <c r="A37" s="7" t="inlineStr">
        <is>
          <t>Day 5</t>
        </is>
      </c>
      <c r="B37" s="7" t="inlineStr">
        <is>
          <t>20:01 - 01:00</t>
        </is>
      </c>
      <c r="C37" s="7" t="inlineStr">
        <is>
          <t>Off-Peak (50% Disc.)</t>
        </is>
      </c>
      <c r="D37" s="11" t="n">
        <v>270.47</v>
      </c>
      <c r="E37" s="11" t="n">
        <v>2000</v>
      </c>
      <c r="F37" s="11" t="n">
        <v>0</v>
      </c>
      <c r="G37" s="29" t="inlineStr">
        <is>
          <t>Capped by Weekly 10k</t>
        </is>
      </c>
      <c r="H37" s="11" t="n">
        <v>270.47</v>
      </c>
      <c r="I37" s="11" t="n">
        <v>10000</v>
      </c>
      <c r="J37" s="29" t="inlineStr">
        <is>
          <t>EXHAUSTED (10k Cap)</t>
        </is>
      </c>
    </row>
    <row r="38">
      <c r="A38" s="12" t="inlineStr">
        <is>
          <t>Day 6</t>
        </is>
      </c>
      <c r="B38" s="12" t="inlineStr">
        <is>
          <t>05:01 - 10:00</t>
        </is>
      </c>
      <c r="C38" s="12" t="inlineStr">
        <is>
          <t>Off-Peak (50% Disc.)</t>
        </is>
      </c>
      <c r="D38" s="16" t="n">
        <v>0</v>
      </c>
      <c r="E38" s="16" t="n">
        <v>2000</v>
      </c>
      <c r="F38" s="16" t="n">
        <v>0</v>
      </c>
      <c r="G38" s="28" t="inlineStr">
        <is>
          <t>UNDER (Within 2k)</t>
        </is>
      </c>
      <c r="H38" s="16" t="n">
        <v>0</v>
      </c>
      <c r="I38" s="16" t="n">
        <v>10000</v>
      </c>
      <c r="J38" s="29" t="inlineStr">
        <is>
          <t>EXHAUSTED (10k Cap)</t>
        </is>
      </c>
    </row>
    <row r="39">
      <c r="A39" s="7" t="inlineStr">
        <is>
          <t>Day 6</t>
        </is>
      </c>
      <c r="B39" s="7" t="inlineStr">
        <is>
          <t>15:01 - 20:00</t>
        </is>
      </c>
      <c r="C39" s="7" t="inlineStr">
        <is>
          <t>PEAK (100%)</t>
        </is>
      </c>
      <c r="D39" s="11" t="n">
        <v>0</v>
      </c>
      <c r="E39" s="11" t="n">
        <v>2000</v>
      </c>
      <c r="F39" s="11" t="n">
        <v>0</v>
      </c>
      <c r="G39" s="28" t="inlineStr">
        <is>
          <t>UNDER (Within 2k)</t>
        </is>
      </c>
      <c r="H39" s="11" t="n">
        <v>0</v>
      </c>
      <c r="I39" s="11" t="n">
        <v>10000</v>
      </c>
      <c r="J39" s="29" t="inlineStr">
        <is>
          <t>EXHAUSTED (10k Cap)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2026-08-26T22:40:34Z</dcterms:created>
  <dcterms:modified xmlns:dcterms="http://purl.org/dc/terms/" xmlns:xsi="http://www.w3.org/2001/XMLSchema-instance" xsi:type="dcterms:W3CDTF">2026-08-26T22:49:33Z</dcterms:modified>
</cp:coreProperties>
</file>