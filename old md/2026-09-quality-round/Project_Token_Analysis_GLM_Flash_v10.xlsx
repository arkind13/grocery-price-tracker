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Phase &amp; Stage Breakdown" sheetId="2" state="visible" r:id="rId2"/>
    <sheet xmlns:r="http://schemas.openxmlformats.org/officeDocument/2006/relationships" name="3-Model Composition" sheetId="3" state="visible" r:id="rId3"/>
    <sheet xmlns:r="http://schemas.openxmlformats.org/officeDocument/2006/relationships" name="GLM Lite &amp; Pro Usag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293B"/>
      <sz val="11"/>
    </font>
    <font>
      <name val="Segoe UI"/>
      <color rgb="00166534"/>
      <sz val="9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46" customWidth="1" min="3" max="3"/>
    <col width="11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6" customWidth="1" min="12" max="12"/>
    <col width="21" customWidth="1" min="13" max="13"/>
    <col width="23" customWidth="1" min="14" max="14"/>
    <col width="24" customWidth="1" min="15" max="15"/>
    <col width="22" customWidth="1" min="16" max="16"/>
    <col width="21" customWidth="1" min="17" max="17"/>
    <col width="22" customWidth="1" min="18" max="18"/>
    <col width="21" customWidth="1" min="19" max="19"/>
    <col width="24" customWidth="1" min="20" max="20"/>
  </cols>
  <sheetData>
    <row r="1">
      <c r="A1" s="1" t="inlineStr">
        <is>
          <t>Complete Execution Token Log &amp; 8-Platform Scenario Cost Matrix (USD)</t>
        </is>
      </c>
    </row>
    <row r="2">
      <c r="A2" s="2" t="inlineStr">
        <is>
          <t>DeepSeek V4 Pro on OpenRouter configured with Alibaba Cloud rates: Off-Peak ($0.5808/$1.742/$0.05808) | Peak ($1.122/$3.366/$0.1122).</t>
        </is>
      </c>
    </row>
    <row r="3"/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Standardized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Pricing Status</t>
        </is>
      </c>
      <c r="L4" s="4" t="inlineStr">
        <is>
          <t>DeepSeek Status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 V4 Flash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 (1x)</t>
        </is>
      </c>
      <c r="M5" s="10" t="n">
        <v>0.0185611027</v>
      </c>
      <c r="N5" s="10" t="n">
        <v>0.012826954</v>
      </c>
      <c r="O5" s="10" t="n">
        <v>0.0087412824</v>
      </c>
      <c r="P5" s="10" t="n">
        <v>0.032442624</v>
      </c>
      <c r="Q5" s="11" t="n">
        <v>31.725071</v>
      </c>
      <c r="R5" s="10" t="n">
        <v>0.032442624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GLM 5.3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 (1x)</t>
        </is>
      </c>
      <c r="M6" s="15" t="n">
        <v>0.1867538</v>
      </c>
      <c r="N6" s="15" t="n">
        <v>0.07079769999999999</v>
      </c>
      <c r="O6" s="15" t="n">
        <v>0.10271459</v>
      </c>
      <c r="P6" s="15" t="n">
        <v>0.04994154000000001</v>
      </c>
      <c r="Q6" s="16" t="n">
        <v>54.207195</v>
      </c>
      <c r="R6" s="15" t="n">
        <v>0</v>
      </c>
      <c r="S6" s="15" t="n">
        <v>0</v>
      </c>
      <c r="T6" s="15" t="n">
        <v>0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GLM 5.3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 (1x)</t>
        </is>
      </c>
      <c r="M7" s="10" t="n">
        <v>0.06356096</v>
      </c>
      <c r="N7" s="10" t="n">
        <v>0.02677312</v>
      </c>
      <c r="O7" s="10" t="n">
        <v>0.034958528</v>
      </c>
      <c r="P7" s="10" t="n">
        <v>0.021354872</v>
      </c>
      <c r="Q7" s="11" t="n">
        <v>17.6753</v>
      </c>
      <c r="R7" s="10" t="n">
        <v>0</v>
      </c>
      <c r="S7" s="10" t="n">
        <v>0</v>
      </c>
      <c r="T7" s="10" t="n">
        <v>0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DeepSeek V4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 (1x)</t>
        </is>
      </c>
      <c r="M8" s="15" t="n">
        <v>0.0294533582</v>
      </c>
      <c r="N8" s="15" t="n">
        <v>0.022557899</v>
      </c>
      <c r="O8" s="15" t="n">
        <v>0.0141584904</v>
      </c>
      <c r="P8" s="15" t="n">
        <v>0.06339415900000001</v>
      </c>
      <c r="Q8" s="16" t="n">
        <v>51.216906</v>
      </c>
      <c r="R8" s="15" t="n">
        <v>0.06339415900000001</v>
      </c>
      <c r="S8" s="15" t="n">
        <v>0.0294533582</v>
      </c>
      <c r="T8" s="15" t="n">
        <v>0.0141584904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5.3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 (1x)</t>
        </is>
      </c>
      <c r="M9" s="10" t="n">
        <v>0.11637116</v>
      </c>
      <c r="N9" s="10" t="n">
        <v>0.05137342</v>
      </c>
      <c r="O9" s="10" t="n">
        <v>0.064004138</v>
      </c>
      <c r="P9" s="10" t="n">
        <v>0.04330757200000001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 (1x)</t>
        </is>
      </c>
      <c r="M10" s="15" t="n">
        <v>0.39030377848</v>
      </c>
      <c r="N10" s="15" t="n">
        <v>0.143704572</v>
      </c>
      <c r="O10" s="15" t="n">
        <v>0.4364297167999999</v>
      </c>
      <c r="P10" s="15" t="n">
        <v>0.311735512</v>
      </c>
      <c r="Q10" s="16" t="n">
        <v>386.224135</v>
      </c>
      <c r="R10" s="15" t="n">
        <v>0.311735512</v>
      </c>
      <c r="S10" s="15" t="n">
        <v>0.39030377848</v>
      </c>
      <c r="T10" s="15" t="n">
        <v>0.4364297167999999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 (1x)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1.177299752</v>
      </c>
      <c r="Q11" s="11" t="n">
        <v>2574.218313</v>
      </c>
      <c r="R11" s="10" t="n">
        <v>1.177299752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DeepSeek V4 Flash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 (1x)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0.034117328</v>
      </c>
      <c r="Q12" s="16" t="n">
        <v>22.692007</v>
      </c>
      <c r="R12" s="15" t="n">
        <v>0.034117328</v>
      </c>
      <c r="S12" s="15" t="n">
        <v>0.0132837131</v>
      </c>
      <c r="T12" s="15" t="n">
        <v>0.0066699288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5.3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 (1x)</t>
        </is>
      </c>
      <c r="M13" s="10" t="n">
        <v>0.2841999200000001</v>
      </c>
      <c r="N13" s="10" t="n">
        <v>0.10927564</v>
      </c>
      <c r="O13" s="10" t="n">
        <v>0.156309956</v>
      </c>
      <c r="P13" s="10" t="n">
        <v>0.077985424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DeepSeek V4 Flash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 (1x)</t>
        </is>
      </c>
      <c r="M14" s="15" t="n">
        <v>0.0116272982</v>
      </c>
      <c r="N14" s="15" t="n">
        <v>0.01144402</v>
      </c>
      <c r="O14" s="15" t="n">
        <v>0.005885496</v>
      </c>
      <c r="P14" s="15" t="n">
        <v>0.0395648</v>
      </c>
      <c r="Q14" s="16" t="n">
        <v>21.58107</v>
      </c>
      <c r="R14" s="15" t="n">
        <v>0.0395648</v>
      </c>
      <c r="S14" s="15" t="n">
        <v>0.0116272982</v>
      </c>
      <c r="T14" s="15" t="n">
        <v>0.005885496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 (1x)</t>
        </is>
      </c>
      <c r="M15" s="10" t="n">
        <v>0.16809714872</v>
      </c>
      <c r="N15" s="10" t="n">
        <v>0.060501848</v>
      </c>
      <c r="O15" s="10" t="n">
        <v>0.2243223752</v>
      </c>
      <c r="P15" s="10" t="n">
        <v>0.160230268</v>
      </c>
      <c r="Q15" s="11" t="n">
        <v>137.5798</v>
      </c>
      <c r="R15" s="10" t="n">
        <v>0.160230268</v>
      </c>
      <c r="S15" s="10" t="n">
        <v>0.16809714872</v>
      </c>
      <c r="T15" s="10" t="n">
        <v>0.2243223752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DeepSeek V4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 (1x)</t>
        </is>
      </c>
      <c r="M16" s="15" t="n">
        <v>0.19677358544</v>
      </c>
      <c r="N16" s="15" t="n">
        <v>0.068692316</v>
      </c>
      <c r="O16" s="15" t="n">
        <v>0.3049045384</v>
      </c>
      <c r="P16" s="15" t="n">
        <v>0.217788956</v>
      </c>
      <c r="Q16" s="16" t="n">
        <v>127.967465</v>
      </c>
      <c r="R16" s="15" t="n">
        <v>0.217788956</v>
      </c>
      <c r="S16" s="15" t="n">
        <v>0.19677358544</v>
      </c>
      <c r="T16" s="15" t="n">
        <v>0.3049045384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 (1x)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0.065084288</v>
      </c>
      <c r="Q17" s="11" t="n">
        <v>100.784452</v>
      </c>
      <c r="R17" s="10" t="n">
        <v>0.065084288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5.3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 (1x)</t>
        </is>
      </c>
      <c r="M18" s="15" t="n">
        <v>0.6856163200000001</v>
      </c>
      <c r="N18" s="15" t="n">
        <v>0.2777470400000001</v>
      </c>
      <c r="O18" s="15" t="n">
        <v>0.377088976</v>
      </c>
      <c r="P18" s="15" t="n">
        <v>0.211631684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DeepSeek V4 Flash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 (1x)</t>
        </is>
      </c>
      <c r="M19" s="10" t="n">
        <v>0.0500749144</v>
      </c>
      <c r="N19" s="10" t="n">
        <v>0.046070192</v>
      </c>
      <c r="O19" s="10" t="n">
        <v>0.0248617152</v>
      </c>
      <c r="P19" s="10" t="n">
        <v>0.154529632</v>
      </c>
      <c r="Q19" s="11" t="n">
        <v>92.32888800000001</v>
      </c>
      <c r="R19" s="10" t="n">
        <v>0.154529632</v>
      </c>
      <c r="S19" s="10" t="n">
        <v>0.0500749144</v>
      </c>
      <c r="T19" s="10" t="n">
        <v>0.0248617152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 (1x)</t>
        </is>
      </c>
      <c r="M20" s="15" t="n">
        <v>0.13001230128</v>
      </c>
      <c r="N20" s="15" t="n">
        <v>0.045984972</v>
      </c>
      <c r="O20" s="15" t="n">
        <v>0.1830981768</v>
      </c>
      <c r="P20" s="15" t="n">
        <v>0.130784412</v>
      </c>
      <c r="Q20" s="16" t="n">
        <v>99.149745</v>
      </c>
      <c r="R20" s="15" t="n">
        <v>0.130784412</v>
      </c>
      <c r="S20" s="15" t="n">
        <v>0.13001230128</v>
      </c>
      <c r="T20" s="15" t="n">
        <v>0.1830981768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 (1x)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0.18395378</v>
      </c>
      <c r="Q21" s="11" t="n">
        <v>352.2939</v>
      </c>
      <c r="R21" s="10" t="n">
        <v>0.18395378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5.3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 (1x)</t>
        </is>
      </c>
      <c r="M22" s="15" t="n">
        <v>0.453877</v>
      </c>
      <c r="N22" s="15" t="n">
        <v>0.1780745</v>
      </c>
      <c r="O22" s="15" t="n">
        <v>0.24963235</v>
      </c>
      <c r="P22" s="15" t="n">
        <v>0.130229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 (1x)</t>
        </is>
      </c>
      <c r="M23" s="10" t="n">
        <v>0.2202503252</v>
      </c>
      <c r="N23" s="10" t="n">
        <v>0.07764372</v>
      </c>
      <c r="O23" s="10" t="n">
        <v>0.288913548</v>
      </c>
      <c r="P23" s="10" t="n">
        <v>0.20636682</v>
      </c>
      <c r="Q23" s="11" t="n">
        <v>185.59728</v>
      </c>
      <c r="R23" s="10" t="n">
        <v>0.20636682</v>
      </c>
      <c r="S23" s="10" t="n">
        <v>0.2202503252</v>
      </c>
      <c r="T23" s="10" t="n">
        <v>0.288913548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 (1x)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0.236990384</v>
      </c>
      <c r="Q24" s="16" t="n">
        <v>414.640551</v>
      </c>
      <c r="R24" s="15" t="n">
        <v>0.236990384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5.3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 (1x)</t>
        </is>
      </c>
      <c r="M25" s="10" t="n">
        <v>0.36139192</v>
      </c>
      <c r="N25" s="10" t="n">
        <v>0.14069084</v>
      </c>
      <c r="O25" s="10" t="n">
        <v>0.198765556</v>
      </c>
      <c r="P25" s="10" t="n">
        <v>0.102056504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 (1x)</t>
        </is>
      </c>
      <c r="M26" s="15" t="n">
        <v>0.23215877192</v>
      </c>
      <c r="N26" s="15" t="n">
        <v>0.083470948</v>
      </c>
      <c r="O26" s="15" t="n">
        <v>0.2982513072</v>
      </c>
      <c r="P26" s="15" t="n">
        <v>0.213036648</v>
      </c>
      <c r="Q26" s="16" t="n">
        <v>199.554705</v>
      </c>
      <c r="R26" s="15" t="n">
        <v>0.213036648</v>
      </c>
      <c r="S26" s="15" t="n">
        <v>0.23215877192</v>
      </c>
      <c r="T26" s="15" t="n">
        <v>0.2982513072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 (1x)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0.1517836</v>
      </c>
      <c r="Q27" s="11" t="n">
        <v>287.40374</v>
      </c>
      <c r="R27" s="10" t="n">
        <v>0.1517836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 (1x)</t>
        </is>
      </c>
      <c r="M28" s="15" t="n">
        <v>0.1698784108</v>
      </c>
      <c r="N28" s="15" t="n">
        <v>0.08661996000000001</v>
      </c>
      <c r="O28" s="15" t="n">
        <v>0.07507080000000001</v>
      </c>
      <c r="P28" s="15" t="n">
        <v>0.1517836</v>
      </c>
      <c r="Q28" s="16" t="n">
        <v>287.40374</v>
      </c>
      <c r="R28" s="15" t="n">
        <v>0.1517836</v>
      </c>
      <c r="S28" s="15" t="n">
        <v>0.1698784108</v>
      </c>
      <c r="T28" s="15" t="n">
        <v>0.07507080000000001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 (1x)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0.01463914</v>
      </c>
      <c r="Q29" s="11" t="n">
        <v>11.153125</v>
      </c>
      <c r="R29" s="10" t="n">
        <v>0.01463914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5.3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 (1x)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0.049240224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 (1x)</t>
        </is>
      </c>
      <c r="M31" s="10" t="n">
        <v>0.4769559168</v>
      </c>
      <c r="N31" s="10" t="n">
        <v>0.089590908</v>
      </c>
      <c r="O31" s="10" t="n">
        <v>0.3286995712</v>
      </c>
      <c r="P31" s="10" t="n">
        <v>0.234785408</v>
      </c>
      <c r="Q31" s="11" t="n">
        <v>202.144355</v>
      </c>
      <c r="R31" s="10" t="n">
        <v>0.234785408</v>
      </c>
      <c r="S31" s="10" t="n">
        <v>0.4769559168</v>
      </c>
      <c r="T31" s="10" t="n">
        <v>0.3286995712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 (1x)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0.038406868</v>
      </c>
      <c r="Q32" s="16" t="n">
        <v>58.463212</v>
      </c>
      <c r="R32" s="15" t="n">
        <v>0.038406868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5.3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 (1x)</t>
        </is>
      </c>
      <c r="M33" s="10" t="n">
        <v>0.5870764399999999</v>
      </c>
      <c r="N33" s="10" t="n">
        <v>0.26404318</v>
      </c>
      <c r="O33" s="10" t="n">
        <v>0.322892042</v>
      </c>
      <c r="P33" s="10" t="n">
        <v>0.225754408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 (1x)</t>
        </is>
      </c>
      <c r="M34" s="15" t="n">
        <v>0.4908788148000001</v>
      </c>
      <c r="N34" s="15" t="n">
        <v>0.09235212799999999</v>
      </c>
      <c r="O34" s="15" t="n">
        <v>0.3289690712</v>
      </c>
      <c r="P34" s="15" t="n">
        <v>0.234977908</v>
      </c>
      <c r="Q34" s="16" t="n">
        <v>215.58091</v>
      </c>
      <c r="R34" s="15" t="n">
        <v>0.234977908</v>
      </c>
      <c r="S34" s="15" t="n">
        <v>0.4908788148000001</v>
      </c>
      <c r="T34" s="15" t="n">
        <v>0.3289690712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 (1x)</t>
        </is>
      </c>
      <c r="M35" s="10" t="n">
        <v>0.2679833807</v>
      </c>
      <c r="N35" s="10" t="n">
        <v>0.14536865</v>
      </c>
      <c r="O35" s="10" t="n">
        <v>0.11998854</v>
      </c>
      <c r="P35" s="10" t="n">
        <v>0.27674772</v>
      </c>
      <c r="Q35" s="11" t="n">
        <v>452.543995</v>
      </c>
      <c r="R35" s="10" t="n">
        <v>0.27674772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5.3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 (1x)</t>
        </is>
      </c>
      <c r="M36" s="15" t="n">
        <v>0.3418242</v>
      </c>
      <c r="N36" s="15" t="n">
        <v>0.1355457</v>
      </c>
      <c r="O36" s="15" t="n">
        <v>0.18800331</v>
      </c>
      <c r="P36" s="15" t="n">
        <v>0.10054704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 (1x)</t>
        </is>
      </c>
      <c r="M37" s="10" t="n">
        <v>0.121084994</v>
      </c>
      <c r="N37" s="10" t="n">
        <v>0.04224968</v>
      </c>
      <c r="O37" s="10" t="n">
        <v>0.180660788</v>
      </c>
      <c r="P37" s="10" t="n">
        <v>0.12904342</v>
      </c>
      <c r="Q37" s="11" t="n">
        <v>84.46843</v>
      </c>
      <c r="R37" s="10" t="n">
        <v>0.12904342</v>
      </c>
      <c r="S37" s="10" t="n">
        <v>0.121084994</v>
      </c>
      <c r="T37" s="10" t="n">
        <v>0.180660788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 (1x)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0.091015924</v>
      </c>
      <c r="Q38" s="16" t="n">
        <v>171.506326</v>
      </c>
      <c r="R38" s="15" t="n">
        <v>0.091015924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5.3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 (1x)</t>
        </is>
      </c>
      <c r="M39" s="10" t="n">
        <v>3.23751036</v>
      </c>
      <c r="N39" s="10" t="n">
        <v>1.33635882</v>
      </c>
      <c r="O39" s="10" t="n">
        <v>1.780630698</v>
      </c>
      <c r="P39" s="10" t="n">
        <v>1.051432712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5.3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 (1x)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0.8003117320000001</v>
      </c>
      <c r="Q40" s="16" t="n">
        <v>1387.00327</v>
      </c>
      <c r="R40" s="15" t="n">
        <v>0.2211764648086006</v>
      </c>
      <c r="S40" s="15" t="n">
        <v>1.241585541113201</v>
      </c>
      <c r="T40" s="15" t="n">
        <v>0.6828720476122604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DeepSeek V4 Pro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 (2x)</t>
        </is>
      </c>
      <c r="M41" s="10" t="n">
        <v>0.19405551</v>
      </c>
      <c r="N41" s="10" t="n">
        <v>0.03637436</v>
      </c>
      <c r="O41" s="10" t="n">
        <v>0.147037044</v>
      </c>
      <c r="P41" s="10" t="n">
        <v>0.21005292</v>
      </c>
      <c r="Q41" s="11" t="n">
        <v>71.39796000000001</v>
      </c>
      <c r="R41" s="10" t="n">
        <v>0.21005292</v>
      </c>
      <c r="S41" s="10" t="n">
        <v>0.19405551</v>
      </c>
      <c r="T41" s="10" t="n">
        <v>0.147037044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GLM 5.3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 (2x)</t>
        </is>
      </c>
      <c r="M42" s="15" t="n">
        <v>4.021643839999999</v>
      </c>
      <c r="N42" s="15" t="n">
        <v>1.43560528</v>
      </c>
      <c r="O42" s="15" t="n">
        <v>2.211904112</v>
      </c>
      <c r="P42" s="15" t="n">
        <v>1.850701776</v>
      </c>
      <c r="Q42" s="16" t="n">
        <v>1199.5365</v>
      </c>
      <c r="R42" s="15" t="n">
        <v>0</v>
      </c>
      <c r="S42" s="15" t="n">
        <v>0</v>
      </c>
      <c r="T42" s="15" t="n">
        <v>0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5.3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 (2x)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0.149748368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GLM 5.3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 (2x)</t>
        </is>
      </c>
      <c r="M44" s="15" t="n">
        <v>1.13905188</v>
      </c>
      <c r="N44" s="15" t="n">
        <v>0.44491026</v>
      </c>
      <c r="O44" s="15" t="n">
        <v>0.626478534</v>
      </c>
      <c r="P44" s="15" t="n">
        <v>0.6555145520000002</v>
      </c>
      <c r="Q44" s="16" t="n">
        <v>324.585115</v>
      </c>
      <c r="R44" s="15" t="n">
        <v>0</v>
      </c>
      <c r="S44" s="15" t="n">
        <v>0</v>
      </c>
      <c r="T44" s="15" t="n">
        <v>0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5.3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 (2x)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0.275450208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 (2x)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0.6720846880000001</v>
      </c>
      <c r="Q46" s="16" t="n">
        <v>181.009481</v>
      </c>
      <c r="R46" s="15" t="n">
        <v>0.6720846880000001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5.3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 (1x)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0.502723188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DeepSeek V4 Flash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 (1x)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0.029697292</v>
      </c>
      <c r="Q48" s="16" t="n">
        <v>18.748488</v>
      </c>
      <c r="R48" s="15" t="n">
        <v>0.029697292</v>
      </c>
      <c r="S48" s="15" t="n">
        <v>0.0109666536</v>
      </c>
      <c r="T48" s="15" t="n">
        <v>0.005561611199999999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5.3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 (1x)</t>
        </is>
      </c>
      <c r="M49" s="10" t="n">
        <v>3.43382732</v>
      </c>
      <c r="N49" s="10" t="n">
        <v>1.10540134</v>
      </c>
      <c r="O49" s="10" t="n">
        <v>1.888605026</v>
      </c>
      <c r="P49" s="10" t="n">
        <v>0.590851844</v>
      </c>
      <c r="Q49" s="11" t="n">
        <v>1063.104305</v>
      </c>
      <c r="R49" s="10" t="n">
        <v>0.03017145406836923</v>
      </c>
      <c r="S49" s="10" t="n">
        <v>0.1753460944840369</v>
      </c>
      <c r="T49" s="10" t="n">
        <v>0.09644035196622028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5.3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 (1x)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0.031330728</v>
      </c>
      <c r="Q50" s="16" t="n">
        <v>35.336985</v>
      </c>
      <c r="R50" s="15" t="n">
        <v>0.031330728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5.3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 (1x)</t>
        </is>
      </c>
      <c r="M51" s="10" t="n">
        <v>0.4944722</v>
      </c>
      <c r="N51" s="10" t="n">
        <v>0.1795369</v>
      </c>
      <c r="O51" s="10" t="n">
        <v>0.27195971</v>
      </c>
      <c r="P51" s="10" t="n">
        <v>0.11869154</v>
      </c>
      <c r="Q51" s="11" t="n">
        <v>146.619875</v>
      </c>
      <c r="R51" s="10" t="n">
        <v>0.11869154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 (1x)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0.01863678</v>
      </c>
      <c r="Q52" s="16" t="n">
        <v>14.740145</v>
      </c>
      <c r="R52" s="15" t="n">
        <v>0.01863678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5.3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 (1x)</t>
        </is>
      </c>
      <c r="M53" s="10" t="n">
        <v>0.39360392</v>
      </c>
      <c r="N53" s="10" t="n">
        <v>0.14061124</v>
      </c>
      <c r="O53" s="10" t="n">
        <v>0.216482156</v>
      </c>
      <c r="P53" s="10" t="n">
        <v>0.09024646400000001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 (1x)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0.123181864</v>
      </c>
      <c r="Q54" s="16" t="n">
        <v>70.00351599999999</v>
      </c>
      <c r="R54" s="15" t="n">
        <v>0.123181864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5.3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 (1x)</t>
        </is>
      </c>
      <c r="M55" s="10" t="n">
        <v>0.36493764</v>
      </c>
      <c r="N55" s="10" t="n">
        <v>0.13521378</v>
      </c>
      <c r="O55" s="10" t="n">
        <v>0.200715702</v>
      </c>
      <c r="P55" s="10" t="n">
        <v>0.09214048799999999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DeepSeek V4 Flash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 (1x)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0.01020958</v>
      </c>
      <c r="Q56" s="16" t="n">
        <v>7.072725</v>
      </c>
      <c r="R56" s="15" t="n">
        <v>0.01020958</v>
      </c>
      <c r="S56" s="15" t="n">
        <v>0.0041367585</v>
      </c>
      <c r="T56" s="15" t="n">
        <v>0.002060316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5.3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 (1x)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0.28397952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5.3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 (1x)</t>
        </is>
      </c>
      <c r="M58" s="15" t="n">
        <v>0.3696546</v>
      </c>
      <c r="N58" s="15" t="n">
        <v>0.1310097</v>
      </c>
      <c r="O58" s="15" t="n">
        <v>0.20331003</v>
      </c>
      <c r="P58" s="15" t="n">
        <v>0.08341916000000001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DeepSeek V4 Flash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 (1x)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0.00308284</v>
      </c>
      <c r="Q59" s="11" t="n">
        <v>1.92808</v>
      </c>
      <c r="R59" s="10" t="n">
        <v>0.00308284</v>
      </c>
      <c r="S59" s="10" t="n">
        <v>0.0011295088</v>
      </c>
      <c r="T59" s="10" t="n">
        <v>0.0005742719999999999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 (1x)</t>
        </is>
      </c>
      <c r="M60" s="15" t="n">
        <v>0.3801207361</v>
      </c>
      <c r="N60" s="15" t="n">
        <v>0.22779729</v>
      </c>
      <c r="O60" s="15" t="n">
        <v>0.174209148</v>
      </c>
      <c r="P60" s="15" t="n">
        <v>0.4816794599999999</v>
      </c>
      <c r="Q60" s="16" t="n">
        <v>638.434965</v>
      </c>
      <c r="R60" s="15" t="n">
        <v>0.4816794599999999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5.3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 (1x)</t>
        </is>
      </c>
      <c r="M61" s="10" t="n">
        <v>3.71186756</v>
      </c>
      <c r="N61" s="10" t="n">
        <v>1.10441122</v>
      </c>
      <c r="O61" s="10" t="n">
        <v>2.041527158</v>
      </c>
      <c r="P61" s="10" t="n">
        <v>0.486941752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GLM 5.3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 (1x)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0.076123256</v>
      </c>
      <c r="Q62" s="16" t="n">
        <v>56.67938</v>
      </c>
      <c r="R62" s="15" t="n">
        <v>0</v>
      </c>
      <c r="S62" s="15" t="n">
        <v>0</v>
      </c>
      <c r="T62" s="15" t="n">
        <v>0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GLM 5.3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 (1x)</t>
        </is>
      </c>
      <c r="M63" s="10" t="n">
        <v>2.57326684</v>
      </c>
      <c r="N63" s="10" t="n">
        <v>0.9054903800000002</v>
      </c>
      <c r="O63" s="10" t="n">
        <v>1.415296762</v>
      </c>
      <c r="P63" s="10" t="n">
        <v>0.5707601680000001</v>
      </c>
      <c r="Q63" s="11" t="n">
        <v>771.3473949999999</v>
      </c>
      <c r="R63" s="10" t="n">
        <v>0</v>
      </c>
      <c r="S63" s="10" t="n">
        <v>0</v>
      </c>
      <c r="T63" s="10" t="n">
        <v>0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DeepSeek V4 Flash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 (1x)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0.017583236</v>
      </c>
      <c r="Q64" s="16" t="n">
        <v>10.682804</v>
      </c>
      <c r="R64" s="15" t="n">
        <v>0.017583236</v>
      </c>
      <c r="S64" s="15" t="n">
        <v>0.006256026</v>
      </c>
      <c r="T64" s="15" t="n">
        <v>0.003199233599999999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 (1x)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0.027679136</v>
      </c>
      <c r="Q65" s="11" t="n">
        <v>25.685074</v>
      </c>
      <c r="R65" s="10" t="n">
        <v>0.027679136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GLM 5.3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 (100%)</t>
        </is>
      </c>
      <c r="L66" s="12" t="inlineStr">
        <is>
          <t>PEAK (2x)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0.6919268399999999</v>
      </c>
      <c r="Q66" s="16" t="n">
        <v>437.5759800000001</v>
      </c>
      <c r="R66" s="15" t="n">
        <v>0</v>
      </c>
      <c r="S66" s="15" t="n">
        <v>0</v>
      </c>
      <c r="T66" s="15" t="n">
        <v>0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GLM 5.3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 (100%)</t>
        </is>
      </c>
      <c r="L67" s="7" t="inlineStr">
        <is>
          <t>PEAK (2x)</t>
        </is>
      </c>
      <c r="M67" s="10" t="n">
        <v>19.2605204</v>
      </c>
      <c r="N67" s="10" t="n">
        <v>9.630260199999999</v>
      </c>
      <c r="O67" s="10" t="n">
        <v>10.59328622</v>
      </c>
      <c r="P67" s="10" t="n">
        <v>18.15510972</v>
      </c>
      <c r="Q67" s="11" t="n">
        <v>9498.58764</v>
      </c>
      <c r="R67" s="10" t="n">
        <v>17.87236487748077</v>
      </c>
      <c r="S67" s="10" t="n">
        <v>18.96056006424189</v>
      </c>
      <c r="T67" s="10" t="n">
        <v>10.42830803533304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5.3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 (100%)</t>
        </is>
      </c>
      <c r="L68" s="12" t="inlineStr">
        <is>
          <t>PEAK (2x)</t>
        </is>
      </c>
      <c r="M68" s="15" t="n">
        <v>1.44701588</v>
      </c>
      <c r="N68" s="15" t="n">
        <v>0.48313546</v>
      </c>
      <c r="O68" s="15" t="n">
        <v>0.795858734</v>
      </c>
      <c r="P68" s="15" t="n">
        <v>0.5537231920000001</v>
      </c>
      <c r="Q68" s="16" t="n">
        <v>886.7341899999999</v>
      </c>
      <c r="R68" s="15" t="n">
        <v>0.5537231920000001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GLM 5.3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 (100%)</t>
        </is>
      </c>
      <c r="L69" s="7" t="inlineStr">
        <is>
          <t>PEAK (2x)</t>
        </is>
      </c>
      <c r="M69" s="10" t="n">
        <v>0.33156528</v>
      </c>
      <c r="N69" s="10" t="n">
        <v>0.10575576</v>
      </c>
      <c r="O69" s="10" t="n">
        <v>0.182360904</v>
      </c>
      <c r="P69" s="10" t="n">
        <v>0.110654632</v>
      </c>
      <c r="Q69" s="11" t="n">
        <v>206.18746</v>
      </c>
      <c r="R69" s="10" t="n">
        <v>0.110654632</v>
      </c>
      <c r="S69" s="10" t="n">
        <v>0.33156528</v>
      </c>
      <c r="T69" s="10" t="n">
        <v>0.182360904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GLM 5.3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 (100%)</t>
        </is>
      </c>
      <c r="L70" s="12" t="inlineStr">
        <is>
          <t>PEAK (2x)</t>
        </is>
      </c>
      <c r="M70" s="15" t="n">
        <v>0.55343664</v>
      </c>
      <c r="N70" s="15" t="n">
        <v>0.22389528</v>
      </c>
      <c r="O70" s="15" t="n">
        <v>0.304390152</v>
      </c>
      <c r="P70" s="15" t="n">
        <v>0.343383656</v>
      </c>
      <c r="Q70" s="16" t="n">
        <v>311.26634</v>
      </c>
      <c r="R70" s="15" t="n">
        <v>0.343383656</v>
      </c>
      <c r="S70" s="15" t="n">
        <v>0.55343664</v>
      </c>
      <c r="T70" s="15" t="n">
        <v>0.304390152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5.3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 (1x)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0.158692424</v>
      </c>
      <c r="Q71" s="11" t="n">
        <v>182.38925</v>
      </c>
      <c r="R71" s="10" t="n">
        <v>0.158692424</v>
      </c>
      <c r="S71" s="10" t="n">
        <v>0.6222863200000001</v>
      </c>
      <c r="T71" s="10" t="n">
        <v>0.3422574759999999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5.3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 (1x)</t>
        </is>
      </c>
      <c r="M72" s="15" t="n">
        <v>0.31507</v>
      </c>
      <c r="N72" s="15" t="n">
        <v>0.1293878</v>
      </c>
      <c r="O72" s="15" t="n">
        <v>0.1732885</v>
      </c>
      <c r="P72" s="15" t="n">
        <v>0.10084822</v>
      </c>
      <c r="Q72" s="16" t="n">
        <v>88.07968000000001</v>
      </c>
      <c r="R72" s="15" t="n">
        <v>0.10084822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Pro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 (1x)</t>
        </is>
      </c>
      <c r="M73" s="10" t="n">
        <v>0.6412932372000001</v>
      </c>
      <c r="N73" s="10" t="n">
        <v>0.125419272</v>
      </c>
      <c r="O73" s="10" t="n">
        <v>0.4588006808</v>
      </c>
      <c r="P73" s="10" t="n">
        <v>0.327714772</v>
      </c>
      <c r="Q73" s="11" t="n">
        <v>254.26396</v>
      </c>
      <c r="R73" s="10" t="n">
        <v>0.327714772</v>
      </c>
      <c r="S73" s="10" t="n">
        <v>0.6412932372000001</v>
      </c>
      <c r="T73" s="10" t="n">
        <v>0.4588006808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DeepSeek V4 Pro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 (1x)</t>
        </is>
      </c>
      <c r="M74" s="15" t="n">
        <v>2.0966930688</v>
      </c>
      <c r="N74" s="15" t="n">
        <v>0.404136348</v>
      </c>
      <c r="O74" s="15" t="n">
        <v>0.8534428672</v>
      </c>
      <c r="P74" s="15" t="n">
        <v>0.609602048</v>
      </c>
      <c r="Q74" s="16" t="n">
        <v>1365.831275</v>
      </c>
      <c r="R74" s="15" t="n">
        <v>0.609602048</v>
      </c>
      <c r="S74" s="15" t="n">
        <v>2.0966930688</v>
      </c>
      <c r="T74" s="15" t="n">
        <v>0.8534428672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 V4 Pro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 (1x)</t>
        </is>
      </c>
      <c r="M75" s="10" t="n">
        <v>0.25229716936</v>
      </c>
      <c r="N75" s="10" t="n">
        <v>0.09516896399999999</v>
      </c>
      <c r="O75" s="10" t="n">
        <v>0.2781908976</v>
      </c>
      <c r="P75" s="10" t="n">
        <v>0.198707784</v>
      </c>
      <c r="Q75" s="11" t="n">
        <v>251.159385</v>
      </c>
      <c r="R75" s="10" t="n">
        <v>0.198707784</v>
      </c>
      <c r="S75" s="10" t="n">
        <v>0.25229716936</v>
      </c>
      <c r="T75" s="10" t="n">
        <v>0.2781908976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DeepSeek V4 Pro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 (1x)</t>
        </is>
      </c>
      <c r="M76" s="15" t="n">
        <v>0.284064518</v>
      </c>
      <c r="N76" s="15" t="n">
        <v>0.10689822</v>
      </c>
      <c r="O76" s="15" t="n">
        <v>0.301441448</v>
      </c>
      <c r="P76" s="15" t="n">
        <v>0.21531532</v>
      </c>
      <c r="Q76" s="16" t="n">
        <v>292.629715</v>
      </c>
      <c r="R76" s="15" t="n">
        <v>0.21531532</v>
      </c>
      <c r="S76" s="15" t="n">
        <v>0.284064518</v>
      </c>
      <c r="T76" s="15" t="n">
        <v>0.301441448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DeepSeek V4 Pro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 (1x)</t>
        </is>
      </c>
      <c r="M77" s="10" t="n">
        <v>0.26760259328</v>
      </c>
      <c r="N77" s="10" t="n">
        <v>0.100938992</v>
      </c>
      <c r="O77" s="10" t="n">
        <v>0.2902165728</v>
      </c>
      <c r="P77" s="10" t="n">
        <v>0.207297552</v>
      </c>
      <c r="Q77" s="11" t="n">
        <v>270.37482</v>
      </c>
      <c r="R77" s="10" t="n">
        <v>0.207297552</v>
      </c>
      <c r="S77" s="10" t="n">
        <v>0.26760259328</v>
      </c>
      <c r="T77" s="10" t="n">
        <v>0.2902165728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 (100%)</t>
        </is>
      </c>
      <c r="L78" s="12" t="inlineStr">
        <is>
          <t>PEAK (2x)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0.456418032</v>
      </c>
      <c r="Q78" s="16" t="n">
        <v>248.374418</v>
      </c>
      <c r="R78" s="15" t="n">
        <v>0.456418032</v>
      </c>
      <c r="S78" s="15" t="n">
        <v>0.0730258277</v>
      </c>
      <c r="T78" s="15" t="n">
        <v>0.03830654159999999</v>
      </c>
    </row>
    <row r="79">
      <c r="A79" s="17" t="inlineStr">
        <is>
          <t>Grand Total (Including $18 Base Fee for Sc. 6-8)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18 + SUM(R5:R78)</f>
        <v/>
      </c>
      <c r="S79" s="20">
        <f>18 + SUM(S5:S78)</f>
        <v/>
      </c>
      <c r="T79" s="20">
        <f>18 + 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20" customWidth="1" min="4" max="4"/>
    <col width="34" customWidth="1" min="5" max="5"/>
    <col width="19" customWidth="1" min="6" max="6"/>
    <col width="20" customWidth="1" min="7" max="7"/>
    <col width="24" customWidth="1" min="8" max="8"/>
    <col width="22" customWidth="1" min="9" max="9"/>
  </cols>
  <sheetData>
    <row r="1">
      <c r="A1" s="1" t="inlineStr">
        <is>
          <t>Consolidated Phase-Wise &amp; Stage-Wise Token Architecture</t>
        </is>
      </c>
    </row>
    <row r="2">
      <c r="A2" s="2" t="inlineStr">
        <is>
          <t>Table 1: Consolidated Phase 0 to Phase 9 + Misc summary | Table 2: Complete Project Stage-Wise Token Summary</t>
        </is>
      </c>
    </row>
    <row r="4">
      <c r="A4" s="22" t="inlineStr">
        <is>
          <t>Table 1: Consolidated Phase-by-Phase Token Consumption (Phase 0 to 9 &amp; Misc)</t>
        </is>
      </c>
    </row>
    <row r="5">
      <c r="A5" s="3" t="inlineStr">
        <is>
          <t>Consolidated Phase</t>
        </is>
      </c>
      <c r="B5" s="3" t="inlineStr">
        <is>
          <t>Execution Stages Included</t>
        </is>
      </c>
      <c r="C5" s="3" t="inlineStr">
        <is>
          <t>Execution Steps</t>
        </is>
      </c>
      <c r="D5" s="3" t="inlineStr">
        <is>
          <t>Input Tokens</t>
        </is>
      </c>
      <c r="E5" s="3" t="inlineStr">
        <is>
          <t>Output Tokens</t>
        </is>
      </c>
      <c r="F5" s="3" t="inlineStr">
        <is>
          <t>Reasoning Tokens</t>
        </is>
      </c>
      <c r="G5" s="3" t="inlineStr">
        <is>
          <t>Cache Read Tokens</t>
        </is>
      </c>
      <c r="H5" s="3" t="inlineStr">
        <is>
          <t>Total Combined Tokens</t>
        </is>
      </c>
    </row>
    <row r="6">
      <c r="A6" s="23" t="inlineStr">
        <is>
          <t>Phase 0</t>
        </is>
      </c>
      <c r="B6" s="12" t="inlineStr">
        <is>
          <t>Misc</t>
        </is>
      </c>
      <c r="C6" s="14" t="n">
        <v>67</v>
      </c>
      <c r="D6" s="14" t="n">
        <v>471875</v>
      </c>
      <c r="E6" s="14" t="n">
        <v>25574</v>
      </c>
      <c r="F6" s="14" t="n">
        <v>15697</v>
      </c>
      <c r="G6" s="14" t="n">
        <v>1879381</v>
      </c>
      <c r="H6" s="14">
        <f>D6+E6+G6</f>
        <v/>
      </c>
    </row>
    <row r="7">
      <c r="A7" s="24" t="inlineStr">
        <is>
          <t>Phase 1</t>
        </is>
      </c>
      <c r="B7" s="7" t="inlineStr">
        <is>
          <t>Code, Plan</t>
        </is>
      </c>
      <c r="C7" s="9" t="n">
        <v>353</v>
      </c>
      <c r="D7" s="9" t="n">
        <v>2848415</v>
      </c>
      <c r="E7" s="9" t="n">
        <v>157871</v>
      </c>
      <c r="F7" s="9" t="n">
        <v>40503</v>
      </c>
      <c r="G7" s="9" t="n">
        <v>83354896</v>
      </c>
      <c r="H7" s="9">
        <f>D7+E7+G7</f>
        <v/>
      </c>
    </row>
    <row r="8">
      <c r="A8" s="23" t="inlineStr">
        <is>
          <t>Phase 2</t>
        </is>
      </c>
      <c r="B8" s="12" t="inlineStr">
        <is>
          <t>Arch, Code, Plan</t>
        </is>
      </c>
      <c r="C8" s="14" t="n">
        <v>92</v>
      </c>
      <c r="D8" s="14" t="n">
        <v>792037</v>
      </c>
      <c r="E8" s="14" t="n">
        <v>80747</v>
      </c>
      <c r="F8" s="14" t="n">
        <v>13801</v>
      </c>
      <c r="G8" s="14" t="n">
        <v>4092808</v>
      </c>
      <c r="H8" s="14">
        <f>D8+E8+G8</f>
        <v/>
      </c>
    </row>
    <row r="9">
      <c r="A9" s="24" t="inlineStr">
        <is>
          <t>Phase 3</t>
        </is>
      </c>
      <c r="B9" s="7" t="inlineStr">
        <is>
          <t>Arch, Code, Plan</t>
        </is>
      </c>
      <c r="C9" s="9" t="n">
        <v>150</v>
      </c>
      <c r="D9" s="9" t="n">
        <v>1183051</v>
      </c>
      <c r="E9" s="9" t="n">
        <v>161336</v>
      </c>
      <c r="F9" s="9" t="n">
        <v>28086</v>
      </c>
      <c r="G9" s="9" t="n">
        <v>12197024</v>
      </c>
      <c r="H9" s="9">
        <f>D9+E9+G9</f>
        <v/>
      </c>
    </row>
    <row r="10">
      <c r="A10" s="23" t="inlineStr">
        <is>
          <t>Phase 4</t>
        </is>
      </c>
      <c r="B10" s="12" t="inlineStr">
        <is>
          <t>Arch, Code, Plan</t>
        </is>
      </c>
      <c r="C10" s="14" t="n">
        <v>143</v>
      </c>
      <c r="D10" s="14" t="n">
        <v>858654</v>
      </c>
      <c r="E10" s="14" t="n">
        <v>97255</v>
      </c>
      <c r="F10" s="14" t="n">
        <v>22301</v>
      </c>
      <c r="G10" s="14" t="n">
        <v>13641792</v>
      </c>
      <c r="H10" s="14">
        <f>D10+E10+G10</f>
        <v/>
      </c>
    </row>
    <row r="11">
      <c r="A11" s="24" t="inlineStr">
        <is>
          <t>Phase 5</t>
        </is>
      </c>
      <c r="B11" s="7" t="inlineStr">
        <is>
          <t>Arch, Code, Plan</t>
        </is>
      </c>
      <c r="C11" s="9" t="n">
        <v>101</v>
      </c>
      <c r="D11" s="9" t="n">
        <v>644095</v>
      </c>
      <c r="E11" s="9" t="n">
        <v>64255</v>
      </c>
      <c r="F11" s="9" t="n">
        <v>17535</v>
      </c>
      <c r="G11" s="9" t="n">
        <v>10299776</v>
      </c>
      <c r="H11" s="9">
        <f>D11+E11+G11</f>
        <v/>
      </c>
    </row>
    <row r="12">
      <c r="A12" s="23" t="inlineStr">
        <is>
          <t>Phase 6</t>
        </is>
      </c>
      <c r="B12" s="12" t="inlineStr">
        <is>
          <t>Arch, Code, Plan</t>
        </is>
      </c>
      <c r="C12" s="14" t="n">
        <v>124</v>
      </c>
      <c r="D12" s="14" t="n">
        <v>696563</v>
      </c>
      <c r="E12" s="14" t="n">
        <v>56540</v>
      </c>
      <c r="F12" s="14" t="n">
        <v>12031</v>
      </c>
      <c r="G12" s="14" t="n">
        <v>11077888</v>
      </c>
      <c r="H12" s="14">
        <f>D12+E12+G12</f>
        <v/>
      </c>
    </row>
    <row r="13">
      <c r="A13" s="24" t="inlineStr">
        <is>
          <t>Phase 7</t>
        </is>
      </c>
      <c r="B13" s="7" t="inlineStr">
        <is>
          <t>Arch, Code, Plan</t>
        </is>
      </c>
      <c r="C13" s="9" t="n">
        <v>186</v>
      </c>
      <c r="D13" s="9" t="n">
        <v>1282522</v>
      </c>
      <c r="E13" s="9" t="n">
        <v>72213</v>
      </c>
      <c r="F13" s="9" t="n">
        <v>52381</v>
      </c>
      <c r="G13" s="9" t="n">
        <v>14276928</v>
      </c>
      <c r="H13" s="9">
        <f>D13+E13+G13</f>
        <v/>
      </c>
    </row>
    <row r="14">
      <c r="A14" s="23" t="inlineStr">
        <is>
          <t>Phase 8</t>
        </is>
      </c>
      <c r="B14" s="12" t="inlineStr">
        <is>
          <t>Arch, Code, Plan</t>
        </is>
      </c>
      <c r="C14" s="14" t="n">
        <v>85</v>
      </c>
      <c r="D14" s="14" t="n">
        <v>438589</v>
      </c>
      <c r="E14" s="14" t="n">
        <v>45307</v>
      </c>
      <c r="F14" s="14" t="n">
        <v>26421</v>
      </c>
      <c r="G14" s="14" t="n">
        <v>5841792</v>
      </c>
      <c r="H14" s="14">
        <f>D14+E14+G14</f>
        <v/>
      </c>
    </row>
    <row r="15">
      <c r="A15" s="24" t="inlineStr">
        <is>
          <t>Phase 9</t>
        </is>
      </c>
      <c r="B15" s="7" t="inlineStr">
        <is>
          <t>Misc, Plan</t>
        </is>
      </c>
      <c r="C15" s="9" t="n">
        <v>1322</v>
      </c>
      <c r="D15" s="9" t="n">
        <v>24911106</v>
      </c>
      <c r="E15" s="9" t="n">
        <v>483466</v>
      </c>
      <c r="F15" s="9" t="n">
        <v>614130</v>
      </c>
      <c r="G15" s="9" t="n">
        <v>104482790</v>
      </c>
      <c r="H15" s="9">
        <f>D15+E15+G15</f>
        <v/>
      </c>
    </row>
    <row r="16">
      <c r="A16" s="23" t="inlineStr">
        <is>
          <t>Misc / Unstaged Tasks</t>
        </is>
      </c>
      <c r="B16" s="12" t="inlineStr">
        <is>
          <t>Misc, Plan</t>
        </is>
      </c>
      <c r="C16" s="14" t="n">
        <v>222</v>
      </c>
      <c r="D16" s="14" t="n">
        <v>2641028</v>
      </c>
      <c r="E16" s="14" t="n">
        <v>50062</v>
      </c>
      <c r="F16" s="14" t="n">
        <v>75079</v>
      </c>
      <c r="G16" s="14" t="n">
        <v>22479488</v>
      </c>
      <c r="H16" s="14">
        <f>D16+E16+G16</f>
        <v/>
      </c>
    </row>
    <row r="17">
      <c r="A17" s="17" t="inlineStr">
        <is>
          <t>Total Token Consumption</t>
        </is>
      </c>
      <c r="B17" s="18" t="n"/>
      <c r="C17" s="19">
        <f>SUM(C6:C16)</f>
        <v/>
      </c>
      <c r="D17" s="19">
        <f>SUM(D6:D16)</f>
        <v/>
      </c>
      <c r="E17" s="19">
        <f>SUM(E6:E16)</f>
        <v/>
      </c>
      <c r="F17" s="19">
        <f>SUM(F6:F16)</f>
        <v/>
      </c>
      <c r="G17" s="19">
        <f>SUM(G6:G16)</f>
        <v/>
      </c>
      <c r="H17" s="19">
        <f>SUM(H6:H16)</f>
        <v/>
      </c>
    </row>
    <row r="20">
      <c r="A20" s="22" t="inlineStr">
        <is>
          <t>Table 2: Entire Project Stage-Wise Token Summary (Arch, Plan, Code, Misc)</t>
        </is>
      </c>
    </row>
    <row r="21">
      <c r="A21" s="4" t="inlineStr">
        <is>
          <t>Execution Stage Category</t>
        </is>
      </c>
      <c r="B21" s="4" t="inlineStr">
        <is>
          <t>Input Tokens</t>
        </is>
      </c>
      <c r="C21" s="4" t="inlineStr">
        <is>
          <t>Output Tokens</t>
        </is>
      </c>
      <c r="D21" s="4" t="inlineStr">
        <is>
          <t>Cache Read Tokens</t>
        </is>
      </c>
      <c r="E21" s="4" t="inlineStr">
        <is>
          <t>Total Tokens (In + Out + Cache)</t>
        </is>
      </c>
      <c r="F21" s="4" t="inlineStr">
        <is>
          <t>% Input Share</t>
        </is>
      </c>
      <c r="G21" s="4" t="inlineStr">
        <is>
          <t>% Output Share</t>
        </is>
      </c>
      <c r="H21" s="4" t="inlineStr">
        <is>
          <t>% Cache Share</t>
        </is>
      </c>
      <c r="I21" s="4" t="inlineStr">
        <is>
          <t>% Total Token Share</t>
        </is>
      </c>
    </row>
    <row r="22">
      <c r="A22" s="23" t="inlineStr">
        <is>
          <t>Architecture Stage</t>
        </is>
      </c>
      <c r="B22" s="14" t="n">
        <v>1795469</v>
      </c>
      <c r="C22" s="14" t="n">
        <v>213990</v>
      </c>
      <c r="D22" s="14" t="n">
        <v>12996896</v>
      </c>
      <c r="E22" s="14">
        <f>B22+C22+D22</f>
        <v/>
      </c>
      <c r="F22" s="25">
        <f>B22/B26</f>
        <v/>
      </c>
      <c r="G22" s="25">
        <f>C22/C26</f>
        <v/>
      </c>
      <c r="H22" s="25">
        <f>D22/D26</f>
        <v/>
      </c>
      <c r="I22" s="25">
        <f>E22/E26</f>
        <v/>
      </c>
    </row>
    <row r="23">
      <c r="A23" s="24" t="inlineStr">
        <is>
          <t>Planning Stage</t>
        </is>
      </c>
      <c r="B23" s="9" t="n">
        <v>3610940</v>
      </c>
      <c r="C23" s="9" t="n">
        <v>221086</v>
      </c>
      <c r="D23" s="9" t="n">
        <v>30974664</v>
      </c>
      <c r="E23" s="9">
        <f>B23+C23+D23</f>
        <v/>
      </c>
      <c r="F23" s="26">
        <f>B23/B26</f>
        <v/>
      </c>
      <c r="G23" s="26">
        <f>C23/C26</f>
        <v/>
      </c>
      <c r="H23" s="26">
        <f>D23/D26</f>
        <v/>
      </c>
      <c r="I23" s="26">
        <f>E23/E26</f>
        <v/>
      </c>
    </row>
    <row r="24">
      <c r="A24" s="23" t="inlineStr">
        <is>
          <t>Coding Stage</t>
        </is>
      </c>
      <c r="B24" s="14" t="n">
        <v>4976560</v>
      </c>
      <c r="C24" s="14" t="n">
        <v>348207</v>
      </c>
      <c r="D24" s="14" t="n">
        <v>132962832</v>
      </c>
      <c r="E24" s="14">
        <f>B24+C24+D24</f>
        <v/>
      </c>
      <c r="F24" s="25">
        <f>B24/B26</f>
        <v/>
      </c>
      <c r="G24" s="25">
        <f>C24/C26</f>
        <v/>
      </c>
      <c r="H24" s="25">
        <f>D24/D26</f>
        <v/>
      </c>
      <c r="I24" s="25">
        <f>E24/E26</f>
        <v/>
      </c>
    </row>
    <row r="25">
      <c r="A25" s="24" t="inlineStr">
        <is>
          <t>Miscellaneous &amp; Unstaged Tasks</t>
        </is>
      </c>
      <c r="B25" s="9" t="n">
        <v>26384966</v>
      </c>
      <c r="C25" s="9" t="n">
        <v>511343</v>
      </c>
      <c r="D25" s="9" t="n">
        <v>106690171</v>
      </c>
      <c r="E25" s="9">
        <f>B25+C25+D25</f>
        <v/>
      </c>
      <c r="F25" s="26">
        <f>B25/B26</f>
        <v/>
      </c>
      <c r="G25" s="26">
        <f>C25/C26</f>
        <v/>
      </c>
      <c r="H25" s="26">
        <f>D25/D26</f>
        <v/>
      </c>
      <c r="I25" s="26">
        <f>E25/E26</f>
        <v/>
      </c>
    </row>
    <row r="26">
      <c r="A26" s="17" t="inlineStr">
        <is>
          <t>Grand Total (All Stages + Misc)</t>
        </is>
      </c>
      <c r="B26" s="19">
        <f>SUM(B22:B25)</f>
        <v/>
      </c>
      <c r="C26" s="19">
        <f>SUM(C22:C25)</f>
        <v/>
      </c>
      <c r="D26" s="19">
        <f>SUM(D22:D25)</f>
        <v/>
      </c>
      <c r="E26" s="19">
        <f>SUM(E22:E25)</f>
        <v/>
      </c>
      <c r="F26" s="27">
        <f>SUM(F22:F25)</f>
        <v/>
      </c>
      <c r="G26" s="27">
        <f>SUM(G22:G25)</f>
        <v/>
      </c>
      <c r="H26" s="27">
        <f>SUM(H22:H25)</f>
        <v/>
      </c>
      <c r="I26" s="27">
        <f>SUM(I22:I25)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Standardized 3-Model Comparison &amp; Token Share</t>
        </is>
      </c>
    </row>
    <row r="2">
      <c r="A2" s="2" t="inlineStr">
        <is>
          <t>Comparative breakdown across DeepSeek V4 Flash, DeepSeek V4 Pro, and GLM 5.3</t>
        </is>
      </c>
    </row>
    <row r="4">
      <c r="A4" s="3" t="inlineStr">
        <is>
          <t>Standardized Model Group</t>
        </is>
      </c>
      <c r="B4" s="3" t="inlineStr">
        <is>
          <t>Mapped Components</t>
        </is>
      </c>
      <c r="C4" s="3" t="inlineStr">
        <is>
          <t>Execution Steps</t>
        </is>
      </c>
      <c r="D4" s="3" t="inlineStr">
        <is>
          <t>Input Tokens</t>
        </is>
      </c>
      <c r="E4" s="3" t="inlineStr">
        <is>
          <t>Output Tokens</t>
        </is>
      </c>
      <c r="F4" s="3" t="inlineStr">
        <is>
          <t>Cache Read Tokens</t>
        </is>
      </c>
      <c r="G4" s="3" t="inlineStr">
        <is>
          <t>% Input Share</t>
        </is>
      </c>
      <c r="H4" s="3" t="inlineStr">
        <is>
          <t>% Output Share</t>
        </is>
      </c>
      <c r="I4" s="3" t="inlineStr">
        <is>
          <t>% Cache Read Share</t>
        </is>
      </c>
      <c r="J4" s="3" t="inlineStr">
        <is>
          <t>% Total Token Share</t>
        </is>
      </c>
    </row>
    <row r="5">
      <c r="A5" s="23" t="inlineStr">
        <is>
          <t>DeepSeek V4 Flash</t>
        </is>
      </c>
      <c r="B5" s="13" t="inlineStr">
        <is>
          <t>Coding + Execution Tasks (Flash + Seed Models + Gemini 3.7 Flash)</t>
        </is>
      </c>
      <c r="C5" s="14" t="n">
        <v>1185</v>
      </c>
      <c r="D5" s="14" t="n">
        <v>11459177</v>
      </c>
      <c r="E5" s="14" t="n">
        <v>518885</v>
      </c>
      <c r="F5" s="14" t="n">
        <v>160610301</v>
      </c>
      <c r="G5" s="25">
        <f>D5/D8</f>
        <v/>
      </c>
      <c r="H5" s="25">
        <f>E5/E8</f>
        <v/>
      </c>
      <c r="I5" s="25">
        <f>F5/F8</f>
        <v/>
      </c>
      <c r="J5" s="25">
        <f>(D5+E5+F5)/(D8+E8+F8)</f>
        <v/>
      </c>
    </row>
    <row r="6">
      <c r="A6" s="24" t="inlineStr">
        <is>
          <t>DeepSeek V4 Pro</t>
        </is>
      </c>
      <c r="B6" s="8" t="inlineStr">
        <is>
          <t>All Planning Stages (Phases 1-9) via Alibaba Cloud Rate Card</t>
        </is>
      </c>
      <c r="C6" s="9" t="n">
        <v>377</v>
      </c>
      <c r="D6" s="9" t="n">
        <v>3610940</v>
      </c>
      <c r="E6" s="9" t="n">
        <v>221086</v>
      </c>
      <c r="F6" s="9" t="n">
        <v>30974664</v>
      </c>
      <c r="G6" s="26">
        <f>D6/D8</f>
        <v/>
      </c>
      <c r="H6" s="26">
        <f>E6/E8</f>
        <v/>
      </c>
      <c r="I6" s="26">
        <f>F6/F8</f>
        <v/>
      </c>
      <c r="J6" s="26">
        <f>(D6+E6+F6)/(D8+E8+F8)</f>
        <v/>
      </c>
    </row>
    <row r="7">
      <c r="A7" s="23" t="inlineStr">
        <is>
          <t>GLM 5.3</t>
        </is>
      </c>
      <c r="B7" s="13" t="inlineStr">
        <is>
          <t>Architecture &amp; Misc Analysis (GLM 5.2/Byte, Kimi K2.5/K3, Qwen, Grok)</t>
        </is>
      </c>
      <c r="C7" s="14" t="n">
        <v>1283</v>
      </c>
      <c r="D7" s="14" t="n">
        <v>21697818</v>
      </c>
      <c r="E7" s="14" t="n">
        <v>554655</v>
      </c>
      <c r="F7" s="14" t="n">
        <v>92039598</v>
      </c>
      <c r="G7" s="25">
        <f>D7/D8</f>
        <v/>
      </c>
      <c r="H7" s="25">
        <f>E7/E8</f>
        <v/>
      </c>
      <c r="I7" s="25">
        <f>F7/F8</f>
        <v/>
      </c>
      <c r="J7" s="25">
        <f>(D7+E7+F7)/(D8+E8+F8)</f>
        <v/>
      </c>
    </row>
    <row r="8">
      <c r="A8" s="17" t="inlineStr">
        <is>
          <t>Total</t>
        </is>
      </c>
      <c r="B8" s="18" t="n"/>
      <c r="C8" s="19">
        <f>SUM(C5:C7)</f>
        <v/>
      </c>
      <c r="D8" s="19">
        <f>SUM(D5:D7)</f>
        <v/>
      </c>
      <c r="E8" s="19">
        <f>SUM(E5:E7)</f>
        <v/>
      </c>
      <c r="F8" s="19">
        <f>SUM(F5:F7)</f>
        <v/>
      </c>
      <c r="G8" s="27">
        <f>SUM(G5:G7)</f>
        <v/>
      </c>
      <c r="H8" s="27">
        <f>SUM(H5:H7)</f>
        <v/>
      </c>
      <c r="I8" s="27">
        <f>SUM(I5:I7)</f>
        <v/>
      </c>
      <c r="J8" s="27">
        <f>SUM(J5:J7)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4" customWidth="1" min="4" max="4"/>
    <col width="13" customWidth="1" min="5" max="5"/>
    <col width="26" customWidth="1" min="6" max="6"/>
    <col width="23" customWidth="1" min="7" max="7"/>
    <col width="21" customWidth="1" min="8" max="8"/>
    <col width="26" customWidth="1" min="9" max="9"/>
    <col width="32" customWidth="1" min="10" max="10"/>
  </cols>
  <sheetData>
    <row r="1">
      <c r="A1" s="1" t="inlineStr">
        <is>
          <t>GLM Pro &amp; GLM Lite Capacity Audit (Incorporating GLM-5.3-Flash)</t>
        </is>
      </c>
    </row>
    <row r="2">
      <c r="A2" s="2" t="inlineStr">
        <is>
          <t>Coding on GLM-5.3-Flash (In 2.3 / Cache 0.56 / Out 8); Others on GLM-5.3 (In 6.9 / Cache 1.7 / Out 24). 50% Off-peak discount applied.</t>
        </is>
      </c>
    </row>
    <row r="3"/>
    <row r="4">
      <c r="A4" s="22" t="inlineStr">
        <is>
          <t>Section 1: GLM Pro Plan ($80 USD / 60k Weekly Credits, 12,000 / 5-Hr Limit) - 100% on GLM Ecosystem</t>
        </is>
      </c>
    </row>
    <row r="5">
      <c r="A5" s="3" t="inlineStr">
        <is>
          <t>Day</t>
        </is>
      </c>
      <c r="B5" s="3" t="inlineStr">
        <is>
          <t>Time Slot (AEST)</t>
        </is>
      </c>
      <c r="C5" s="3" t="inlineStr">
        <is>
          <t>GLM Pricing Window</t>
        </is>
      </c>
      <c r="D5" s="3" t="inlineStr">
        <is>
          <t>Slot Demanded Credits</t>
        </is>
      </c>
      <c r="E5" s="3" t="inlineStr">
        <is>
          <t>5-Hr Limit</t>
        </is>
      </c>
      <c r="F5" s="3" t="inlineStr">
        <is>
          <t>5-Hr Status</t>
        </is>
      </c>
      <c r="G5" s="3" t="inlineStr">
        <is>
          <t>Spillover Credits</t>
        </is>
      </c>
      <c r="H5" s="3" t="inlineStr">
        <is>
          <t>Cumulative Credits</t>
        </is>
      </c>
      <c r="I5" s="3" t="inlineStr">
        <is>
          <t>Weekly Limit (60k)</t>
        </is>
      </c>
      <c r="J5" s="3" t="inlineStr">
        <is>
          <t>Weekly Cap Status</t>
        </is>
      </c>
    </row>
    <row r="6">
      <c r="A6" s="12" t="inlineStr">
        <is>
          <t>Day 1</t>
        </is>
      </c>
      <c r="B6" s="12" t="inlineStr">
        <is>
          <t>05:00 - 10:00</t>
        </is>
      </c>
      <c r="C6" s="12" t="inlineStr">
        <is>
          <t>Off-Peak (50%)</t>
        </is>
      </c>
      <c r="D6" s="16" t="n">
        <v>186.04</v>
      </c>
      <c r="E6" s="16" t="n">
        <v>12000</v>
      </c>
      <c r="F6" s="28" t="inlineStr">
        <is>
          <t>OK</t>
        </is>
      </c>
      <c r="G6" s="16" t="n">
        <v>0</v>
      </c>
      <c r="H6" s="16" t="n">
        <v>186.04</v>
      </c>
      <c r="I6" s="16" t="n">
        <v>60000</v>
      </c>
      <c r="J6" s="28" t="inlineStr">
        <is>
          <t>OK</t>
        </is>
      </c>
    </row>
    <row r="7">
      <c r="A7" s="7" t="inlineStr">
        <is>
          <t>Day 2</t>
        </is>
      </c>
      <c r="B7" s="7" t="inlineStr">
        <is>
          <t>05:00 - 10:00</t>
        </is>
      </c>
      <c r="C7" s="7" t="inlineStr">
        <is>
          <t>Off-Peak (50%)</t>
        </is>
      </c>
      <c r="D7" s="11" t="n">
        <v>2983.13</v>
      </c>
      <c r="E7" s="11" t="n">
        <v>12000</v>
      </c>
      <c r="F7" s="28" t="inlineStr">
        <is>
          <t>OK</t>
        </is>
      </c>
      <c r="G7" s="11" t="n">
        <v>0</v>
      </c>
      <c r="H7" s="11" t="n">
        <v>3169.18</v>
      </c>
      <c r="I7" s="11" t="n">
        <v>60000</v>
      </c>
      <c r="J7" s="28" t="inlineStr">
        <is>
          <t>OK</t>
        </is>
      </c>
    </row>
    <row r="8">
      <c r="A8" s="12" t="inlineStr">
        <is>
          <t>Day 3</t>
        </is>
      </c>
      <c r="B8" s="12" t="inlineStr">
        <is>
          <t>05:00 - 10:00</t>
        </is>
      </c>
      <c r="C8" s="12" t="inlineStr">
        <is>
          <t>Off-Peak (50%)</t>
        </is>
      </c>
      <c r="D8" s="16" t="n">
        <v>2532.02</v>
      </c>
      <c r="E8" s="16" t="n">
        <v>12000</v>
      </c>
      <c r="F8" s="28" t="inlineStr">
        <is>
          <t>OK</t>
        </is>
      </c>
      <c r="G8" s="16" t="n">
        <v>0</v>
      </c>
      <c r="H8" s="16" t="n">
        <v>5701.2</v>
      </c>
      <c r="I8" s="16" t="n">
        <v>60000</v>
      </c>
      <c r="J8" s="28" t="inlineStr">
        <is>
          <t>OK</t>
        </is>
      </c>
    </row>
    <row r="9">
      <c r="A9" s="7" t="inlineStr">
        <is>
          <t>Day 3</t>
        </is>
      </c>
      <c r="B9" s="7" t="inlineStr">
        <is>
          <t>11:00 - 16:00</t>
        </is>
      </c>
      <c r="C9" s="7" t="inlineStr">
        <is>
          <t>Off-Peak (50%)</t>
        </is>
      </c>
      <c r="D9" s="11" t="n">
        <v>600.54</v>
      </c>
      <c r="E9" s="11" t="n">
        <v>12000</v>
      </c>
      <c r="F9" s="28" t="inlineStr">
        <is>
          <t>OK</t>
        </is>
      </c>
      <c r="G9" s="11" t="n">
        <v>0</v>
      </c>
      <c r="H9" s="11" t="n">
        <v>6301.74</v>
      </c>
      <c r="I9" s="11" t="n">
        <v>60000</v>
      </c>
      <c r="J9" s="28" t="inlineStr">
        <is>
          <t>OK</t>
        </is>
      </c>
    </row>
    <row r="10">
      <c r="A10" s="12" t="inlineStr">
        <is>
          <t>Day 3</t>
        </is>
      </c>
      <c r="B10" s="12" t="inlineStr">
        <is>
          <t>16:00 - 20:00</t>
        </is>
      </c>
      <c r="C10" s="12" t="inlineStr">
        <is>
          <t>Off-Peak (50%)</t>
        </is>
      </c>
      <c r="D10" s="16" t="n">
        <v>825.01</v>
      </c>
      <c r="E10" s="16" t="n">
        <v>12000</v>
      </c>
      <c r="F10" s="28" t="inlineStr">
        <is>
          <t>OK</t>
        </is>
      </c>
      <c r="G10" s="16" t="n">
        <v>0</v>
      </c>
      <c r="H10" s="16" t="n">
        <v>7126.75</v>
      </c>
      <c r="I10" s="16" t="n">
        <v>60000</v>
      </c>
      <c r="J10" s="28" t="inlineStr">
        <is>
          <t>OK</t>
        </is>
      </c>
    </row>
    <row r="11">
      <c r="A11" s="7" t="inlineStr">
        <is>
          <t>Day 4</t>
        </is>
      </c>
      <c r="B11" s="7" t="inlineStr">
        <is>
          <t>05:00 - 10:00</t>
        </is>
      </c>
      <c r="C11" s="7" t="inlineStr">
        <is>
          <t>Off-Peak (50%)</t>
        </is>
      </c>
      <c r="D11" s="11" t="n">
        <v>2639.29</v>
      </c>
      <c r="E11" s="11" t="n">
        <v>12000</v>
      </c>
      <c r="F11" s="28" t="inlineStr">
        <is>
          <t>OK</t>
        </is>
      </c>
      <c r="G11" s="11" t="n">
        <v>0</v>
      </c>
      <c r="H11" s="11" t="n">
        <v>9766.040000000001</v>
      </c>
      <c r="I11" s="11" t="n">
        <v>60000</v>
      </c>
      <c r="J11" s="28" t="inlineStr">
        <is>
          <t>OK</t>
        </is>
      </c>
    </row>
    <row r="12">
      <c r="A12" s="12" t="inlineStr">
        <is>
          <t>Day 4</t>
        </is>
      </c>
      <c r="B12" s="12" t="inlineStr">
        <is>
          <t>10:00 - 15:00</t>
        </is>
      </c>
      <c r="C12" s="12" t="inlineStr">
        <is>
          <t>Off-Peak (50%)</t>
        </is>
      </c>
      <c r="D12" s="16" t="n">
        <v>1955.86</v>
      </c>
      <c r="E12" s="16" t="n">
        <v>12000</v>
      </c>
      <c r="F12" s="28" t="inlineStr">
        <is>
          <t>OK</t>
        </is>
      </c>
      <c r="G12" s="16" t="n">
        <v>0</v>
      </c>
      <c r="H12" s="16" t="n">
        <v>11721.9</v>
      </c>
      <c r="I12" s="16" t="n">
        <v>60000</v>
      </c>
      <c r="J12" s="28" t="inlineStr">
        <is>
          <t>OK</t>
        </is>
      </c>
    </row>
    <row r="13">
      <c r="A13" s="7" t="inlineStr">
        <is>
          <t>Day 4</t>
        </is>
      </c>
      <c r="B13" s="7" t="inlineStr">
        <is>
          <t>15:00 - 20:00</t>
        </is>
      </c>
      <c r="C13" s="7" t="inlineStr">
        <is>
          <t>Off-Peak (50%)</t>
        </is>
      </c>
      <c r="D13" s="11" t="n">
        <v>2254.99</v>
      </c>
      <c r="E13" s="11" t="n">
        <v>12000</v>
      </c>
      <c r="F13" s="28" t="inlineStr">
        <is>
          <t>OK</t>
        </is>
      </c>
      <c r="G13" s="11" t="n">
        <v>0</v>
      </c>
      <c r="H13" s="11" t="n">
        <v>13976.89</v>
      </c>
      <c r="I13" s="11" t="n">
        <v>60000</v>
      </c>
      <c r="J13" s="28" t="inlineStr">
        <is>
          <t>OK</t>
        </is>
      </c>
    </row>
    <row r="14">
      <c r="A14" s="12" t="inlineStr">
        <is>
          <t>Day 4</t>
        </is>
      </c>
      <c r="B14" s="12" t="inlineStr">
        <is>
          <t>20:01 - 01:00</t>
        </is>
      </c>
      <c r="C14" s="12" t="inlineStr">
        <is>
          <t>Off-Peak (50%)</t>
        </is>
      </c>
      <c r="D14" s="16" t="n">
        <v>317.05</v>
      </c>
      <c r="E14" s="16" t="n">
        <v>12000</v>
      </c>
      <c r="F14" s="28" t="inlineStr">
        <is>
          <t>OK</t>
        </is>
      </c>
      <c r="G14" s="16" t="n">
        <v>0</v>
      </c>
      <c r="H14" s="16" t="n">
        <v>14293.95</v>
      </c>
      <c r="I14" s="16" t="n">
        <v>60000</v>
      </c>
      <c r="J14" s="28" t="inlineStr">
        <is>
          <t>OK</t>
        </is>
      </c>
    </row>
    <row r="15">
      <c r="A15" s="7" t="inlineStr">
        <is>
          <t>Day 5</t>
        </is>
      </c>
      <c r="B15" s="7" t="inlineStr">
        <is>
          <t>05:01 - 10:00</t>
        </is>
      </c>
      <c r="C15" s="7" t="inlineStr">
        <is>
          <t>Off-Peak (50%)</t>
        </is>
      </c>
      <c r="D15" s="11" t="n">
        <v>2483.64</v>
      </c>
      <c r="E15" s="11" t="n">
        <v>12000</v>
      </c>
      <c r="F15" s="28" t="inlineStr">
        <is>
          <t>OK</t>
        </is>
      </c>
      <c r="G15" s="11" t="n">
        <v>0</v>
      </c>
      <c r="H15" s="11" t="n">
        <v>16777.59</v>
      </c>
      <c r="I15" s="11" t="n">
        <v>60000</v>
      </c>
      <c r="J15" s="28" t="inlineStr">
        <is>
          <t>OK</t>
        </is>
      </c>
    </row>
    <row r="16">
      <c r="A16" s="12" t="inlineStr">
        <is>
          <t>Day 5</t>
        </is>
      </c>
      <c r="B16" s="12" t="inlineStr">
        <is>
          <t>10:01 - 15:00</t>
        </is>
      </c>
      <c r="C16" s="12" t="inlineStr">
        <is>
          <t>Off-Peak (50%)</t>
        </is>
      </c>
      <c r="D16" s="16" t="n">
        <v>864.39</v>
      </c>
      <c r="E16" s="16" t="n">
        <v>12000</v>
      </c>
      <c r="F16" s="28" t="inlineStr">
        <is>
          <t>OK</t>
        </is>
      </c>
      <c r="G16" s="16" t="n">
        <v>0</v>
      </c>
      <c r="H16" s="16" t="n">
        <v>17641.98</v>
      </c>
      <c r="I16" s="16" t="n">
        <v>60000</v>
      </c>
      <c r="J16" s="28" t="inlineStr">
        <is>
          <t>OK</t>
        </is>
      </c>
    </row>
    <row r="17">
      <c r="A17" s="7" t="inlineStr">
        <is>
          <t>Day 5</t>
        </is>
      </c>
      <c r="B17" s="7" t="inlineStr">
        <is>
          <t>15:01 - 20:00</t>
        </is>
      </c>
      <c r="C17" s="7" t="inlineStr">
        <is>
          <t>PEAK (100%)</t>
        </is>
      </c>
      <c r="D17" s="11" t="n">
        <v>11340.35</v>
      </c>
      <c r="E17" s="11" t="n">
        <v>12000</v>
      </c>
      <c r="F17" s="28" t="inlineStr">
        <is>
          <t>OK</t>
        </is>
      </c>
      <c r="G17" s="11" t="n">
        <v>0</v>
      </c>
      <c r="H17" s="11" t="n">
        <v>28982.33</v>
      </c>
      <c r="I17" s="11" t="n">
        <v>60000</v>
      </c>
      <c r="J17" s="28" t="inlineStr">
        <is>
          <t>OK</t>
        </is>
      </c>
    </row>
    <row r="18">
      <c r="A18" s="12" t="inlineStr">
        <is>
          <t>Day 5</t>
        </is>
      </c>
      <c r="B18" s="12" t="inlineStr">
        <is>
          <t>20:01 - 01:00</t>
        </is>
      </c>
      <c r="C18" s="12" t="inlineStr">
        <is>
          <t>Off-Peak (50%)</t>
        </is>
      </c>
      <c r="D18" s="16" t="n">
        <v>1890.56</v>
      </c>
      <c r="E18" s="16" t="n">
        <v>12000</v>
      </c>
      <c r="F18" s="28" t="inlineStr">
        <is>
          <t>OK</t>
        </is>
      </c>
      <c r="G18" s="16" t="n">
        <v>0</v>
      </c>
      <c r="H18" s="16" t="n">
        <v>30872.9</v>
      </c>
      <c r="I18" s="16" t="n">
        <v>60000</v>
      </c>
      <c r="J18" s="28" t="inlineStr">
        <is>
          <t>OK</t>
        </is>
      </c>
    </row>
    <row r="19">
      <c r="A19" s="7" t="inlineStr">
        <is>
          <t>Day 6</t>
        </is>
      </c>
      <c r="B19" s="7" t="inlineStr">
        <is>
          <t>05:01 - 10:00</t>
        </is>
      </c>
      <c r="C19" s="7" t="inlineStr">
        <is>
          <t>Off-Peak (50%)</t>
        </is>
      </c>
      <c r="D19" s="11" t="n">
        <v>814.16</v>
      </c>
      <c r="E19" s="11" t="n">
        <v>12000</v>
      </c>
      <c r="F19" s="28" t="inlineStr">
        <is>
          <t>OK</t>
        </is>
      </c>
      <c r="G19" s="11" t="n">
        <v>0</v>
      </c>
      <c r="H19" s="11" t="n">
        <v>31687.06</v>
      </c>
      <c r="I19" s="11" t="n">
        <v>60000</v>
      </c>
      <c r="J19" s="28" t="inlineStr">
        <is>
          <t>OK</t>
        </is>
      </c>
    </row>
    <row r="20">
      <c r="A20" s="12" t="inlineStr">
        <is>
          <t>Day 6</t>
        </is>
      </c>
      <c r="B20" s="12" t="inlineStr">
        <is>
          <t>15:01 - 20:00</t>
        </is>
      </c>
      <c r="C20" s="12" t="inlineStr">
        <is>
          <t>PEAK (100%)</t>
        </is>
      </c>
      <c r="D20" s="16" t="n">
        <v>248.37</v>
      </c>
      <c r="E20" s="16" t="n">
        <v>12000</v>
      </c>
      <c r="F20" s="28" t="inlineStr">
        <is>
          <t>OK</t>
        </is>
      </c>
      <c r="G20" s="16" t="n">
        <v>0</v>
      </c>
      <c r="H20" s="16" t="n">
        <v>31935.43</v>
      </c>
      <c r="I20" s="16" t="n">
        <v>60000</v>
      </c>
      <c r="J20" s="28" t="inlineStr">
        <is>
          <t>OK</t>
        </is>
      </c>
    </row>
    <row r="21"/>
    <row r="22"/>
    <row r="23">
      <c r="A23" s="22" t="inlineStr">
        <is>
          <t>Section 2: GLM Lite Plan ($18 USD / 10k Weekly Credits, 2,000 / 5-Hr Limit) - All Tasks Attempting GLM First</t>
        </is>
      </c>
    </row>
    <row r="24">
      <c r="A24" s="6" t="inlineStr">
        <is>
          <t>Day</t>
        </is>
      </c>
      <c r="B24" s="6" t="inlineStr">
        <is>
          <t>Time Slot (AEST)</t>
        </is>
      </c>
      <c r="C24" s="6" t="inlineStr">
        <is>
          <t>GLM Pricing Window</t>
        </is>
      </c>
      <c r="D24" s="6" t="inlineStr">
        <is>
          <t>GLM Demanded Credits</t>
        </is>
      </c>
      <c r="E24" s="6" t="inlineStr">
        <is>
          <t>5-Hr Limit</t>
        </is>
      </c>
      <c r="F24" s="6" t="inlineStr">
        <is>
          <t>Credits Covered by Plan</t>
        </is>
      </c>
      <c r="G24" s="6" t="inlineStr">
        <is>
          <t>5-Hour Window Status</t>
        </is>
      </c>
      <c r="H24" s="6" t="inlineStr">
        <is>
          <t>Spillover Credits</t>
        </is>
      </c>
      <c r="I24" s="6" t="inlineStr">
        <is>
          <t>Cumulative Plan Credits</t>
        </is>
      </c>
      <c r="J24" s="6" t="inlineStr">
        <is>
          <t>Weekly Limit Status (10k Cap)</t>
        </is>
      </c>
    </row>
    <row r="25">
      <c r="A25" s="7" t="inlineStr">
        <is>
          <t>Day 1</t>
        </is>
      </c>
      <c r="B25" s="7" t="inlineStr">
        <is>
          <t>05:00 - 10:00</t>
        </is>
      </c>
      <c r="C25" s="7" t="inlineStr">
        <is>
          <t>Off-Peak (50%)</t>
        </is>
      </c>
      <c r="D25" s="11" t="n">
        <v>186.04</v>
      </c>
      <c r="E25" s="11" t="n">
        <v>2000</v>
      </c>
      <c r="F25" s="11" t="n">
        <v>186.04</v>
      </c>
      <c r="G25" s="28" t="inlineStr">
        <is>
          <t>UNDER (Within 2k)</t>
        </is>
      </c>
      <c r="H25" s="11" t="n">
        <v>0</v>
      </c>
      <c r="I25" s="11" t="n">
        <v>186.04</v>
      </c>
      <c r="J25" s="28" t="inlineStr">
        <is>
          <t>9,814.0 cr rem.</t>
        </is>
      </c>
    </row>
    <row r="26">
      <c r="A26" s="12" t="inlineStr">
        <is>
          <t>Day 2</t>
        </is>
      </c>
      <c r="B26" s="12" t="inlineStr">
        <is>
          <t>05:00 - 10:00</t>
        </is>
      </c>
      <c r="C26" s="12" t="inlineStr">
        <is>
          <t>Off-Peak (50%)</t>
        </is>
      </c>
      <c r="D26" s="16" t="n">
        <v>2983.13</v>
      </c>
      <c r="E26" s="16" t="n">
        <v>2000</v>
      </c>
      <c r="F26" s="16" t="n">
        <v>2000</v>
      </c>
      <c r="G26" s="29" t="inlineStr">
        <is>
          <t>OVER (+983.1 cr)</t>
        </is>
      </c>
      <c r="H26" s="16" t="n">
        <v>983.13</v>
      </c>
      <c r="I26" s="16" t="n">
        <v>2186.04</v>
      </c>
      <c r="J26" s="28" t="inlineStr">
        <is>
          <t>7,814.0 cr rem.</t>
        </is>
      </c>
    </row>
    <row r="27">
      <c r="A27" s="7" t="inlineStr">
        <is>
          <t>Day 3</t>
        </is>
      </c>
      <c r="B27" s="7" t="inlineStr">
        <is>
          <t>05:00 - 10:00</t>
        </is>
      </c>
      <c r="C27" s="7" t="inlineStr">
        <is>
          <t>Off-Peak (50%)</t>
        </is>
      </c>
      <c r="D27" s="11" t="n">
        <v>2532.02</v>
      </c>
      <c r="E27" s="11" t="n">
        <v>2000</v>
      </c>
      <c r="F27" s="11" t="n">
        <v>2000</v>
      </c>
      <c r="G27" s="29" t="inlineStr">
        <is>
          <t>OVER (+532.0 cr)</t>
        </is>
      </c>
      <c r="H27" s="11" t="n">
        <v>532.02</v>
      </c>
      <c r="I27" s="11" t="n">
        <v>4186.04</v>
      </c>
      <c r="J27" s="28" t="inlineStr">
        <is>
          <t>5,814.0 cr rem.</t>
        </is>
      </c>
    </row>
    <row r="28">
      <c r="A28" s="12" t="inlineStr">
        <is>
          <t>Day 3</t>
        </is>
      </c>
      <c r="B28" s="12" t="inlineStr">
        <is>
          <t>11:00 - 16:00</t>
        </is>
      </c>
      <c r="C28" s="12" t="inlineStr">
        <is>
          <t>Off-Peak (50%)</t>
        </is>
      </c>
      <c r="D28" s="16" t="n">
        <v>600.54</v>
      </c>
      <c r="E28" s="16" t="n">
        <v>2000</v>
      </c>
      <c r="F28" s="16" t="n">
        <v>600.54</v>
      </c>
      <c r="G28" s="28" t="inlineStr">
        <is>
          <t>UNDER (Within 2k)</t>
        </is>
      </c>
      <c r="H28" s="16" t="n">
        <v>0</v>
      </c>
      <c r="I28" s="16" t="n">
        <v>4786.59</v>
      </c>
      <c r="J28" s="28" t="inlineStr">
        <is>
          <t>5,213.4 cr rem.</t>
        </is>
      </c>
    </row>
    <row r="29">
      <c r="A29" s="7" t="inlineStr">
        <is>
          <t>Day 3</t>
        </is>
      </c>
      <c r="B29" s="7" t="inlineStr">
        <is>
          <t>16:00 - 20:00</t>
        </is>
      </c>
      <c r="C29" s="7" t="inlineStr">
        <is>
          <t>Off-Peak (50%)</t>
        </is>
      </c>
      <c r="D29" s="11" t="n">
        <v>825.01</v>
      </c>
      <c r="E29" s="11" t="n">
        <v>2000</v>
      </c>
      <c r="F29" s="11" t="n">
        <v>825.01</v>
      </c>
      <c r="G29" s="28" t="inlineStr">
        <is>
          <t>UNDER (Within 2k)</t>
        </is>
      </c>
      <c r="H29" s="11" t="n">
        <v>0</v>
      </c>
      <c r="I29" s="11" t="n">
        <v>5611.6</v>
      </c>
      <c r="J29" s="28" t="inlineStr">
        <is>
          <t>4,388.4 cr rem.</t>
        </is>
      </c>
    </row>
    <row r="30">
      <c r="A30" s="12" t="inlineStr">
        <is>
          <t>Day 4</t>
        </is>
      </c>
      <c r="B30" s="12" t="inlineStr">
        <is>
          <t>05:00 - 10:00</t>
        </is>
      </c>
      <c r="C30" s="12" t="inlineStr">
        <is>
          <t>Off-Peak (50%)</t>
        </is>
      </c>
      <c r="D30" s="16" t="n">
        <v>2639.29</v>
      </c>
      <c r="E30" s="16" t="n">
        <v>2000</v>
      </c>
      <c r="F30" s="16" t="n">
        <v>2000</v>
      </c>
      <c r="G30" s="29" t="inlineStr">
        <is>
          <t>OVER (+639.3 cr)</t>
        </is>
      </c>
      <c r="H30" s="16" t="n">
        <v>639.29</v>
      </c>
      <c r="I30" s="16" t="n">
        <v>7611.6</v>
      </c>
      <c r="J30" s="28" t="inlineStr">
        <is>
          <t>2,388.4 cr rem.</t>
        </is>
      </c>
    </row>
    <row r="31">
      <c r="A31" s="7" t="inlineStr">
        <is>
          <t>Day 4</t>
        </is>
      </c>
      <c r="B31" s="7" t="inlineStr">
        <is>
          <t>10:00 - 15:00</t>
        </is>
      </c>
      <c r="C31" s="7" t="inlineStr">
        <is>
          <t>Off-Peak (50%)</t>
        </is>
      </c>
      <c r="D31" s="11" t="n">
        <v>1955.86</v>
      </c>
      <c r="E31" s="11" t="n">
        <v>2000</v>
      </c>
      <c r="F31" s="11" t="n">
        <v>1955.86</v>
      </c>
      <c r="G31" s="28" t="inlineStr">
        <is>
          <t>UNDER (Within 2k)</t>
        </is>
      </c>
      <c r="H31" s="11" t="n">
        <v>0</v>
      </c>
      <c r="I31" s="11" t="n">
        <v>9567.450000000001</v>
      </c>
      <c r="J31" s="28" t="inlineStr">
        <is>
          <t>432.5 cr rem.</t>
        </is>
      </c>
    </row>
    <row r="32">
      <c r="A32" s="12" t="inlineStr">
        <is>
          <t>Day 4</t>
        </is>
      </c>
      <c r="B32" s="12" t="inlineStr">
        <is>
          <t>15:00 - 20:00</t>
        </is>
      </c>
      <c r="C32" s="12" t="inlineStr">
        <is>
          <t>Off-Peak (50%)</t>
        </is>
      </c>
      <c r="D32" s="16" t="n">
        <v>2254.99</v>
      </c>
      <c r="E32" s="16" t="n">
        <v>2000</v>
      </c>
      <c r="F32" s="16" t="n">
        <v>432.55</v>
      </c>
      <c r="G32" s="29" t="inlineStr">
        <is>
          <t>OVER (+255.0 cr)</t>
        </is>
      </c>
      <c r="H32" s="16" t="n">
        <v>1822.45</v>
      </c>
      <c r="I32" s="16" t="n">
        <v>10000</v>
      </c>
      <c r="J32" s="29" t="inlineStr">
        <is>
          <t>EXHAUSTED</t>
        </is>
      </c>
    </row>
    <row r="33">
      <c r="A33" s="7" t="inlineStr">
        <is>
          <t>Day 4</t>
        </is>
      </c>
      <c r="B33" s="7" t="inlineStr">
        <is>
          <t>20:01 - 01:00</t>
        </is>
      </c>
      <c r="C33" s="7" t="inlineStr">
        <is>
          <t>Off-Peak (50%)</t>
        </is>
      </c>
      <c r="D33" s="11" t="n">
        <v>317.05</v>
      </c>
      <c r="E33" s="11" t="n">
        <v>2000</v>
      </c>
      <c r="F33" s="11" t="n">
        <v>0</v>
      </c>
      <c r="G33" s="29" t="inlineStr">
        <is>
          <t>Capped by Weekly 10k</t>
        </is>
      </c>
      <c r="H33" s="11" t="n">
        <v>317.05</v>
      </c>
      <c r="I33" s="11" t="n">
        <v>10000</v>
      </c>
      <c r="J33" s="29" t="inlineStr">
        <is>
          <t>EXHAUSTED</t>
        </is>
      </c>
    </row>
    <row r="34">
      <c r="A34" s="12" t="inlineStr">
        <is>
          <t>Day 5</t>
        </is>
      </c>
      <c r="B34" s="12" t="inlineStr">
        <is>
          <t>05:01 - 10:00</t>
        </is>
      </c>
      <c r="C34" s="12" t="inlineStr">
        <is>
          <t>Off-Peak (50%)</t>
        </is>
      </c>
      <c r="D34" s="16" t="n">
        <v>2483.64</v>
      </c>
      <c r="E34" s="16" t="n">
        <v>2000</v>
      </c>
      <c r="F34" s="16" t="n">
        <v>0</v>
      </c>
      <c r="G34" s="29" t="inlineStr">
        <is>
          <t>OVER (+483.6 cr)</t>
        </is>
      </c>
      <c r="H34" s="16" t="n">
        <v>2483.64</v>
      </c>
      <c r="I34" s="16" t="n">
        <v>10000</v>
      </c>
      <c r="J34" s="29" t="inlineStr">
        <is>
          <t>EXHAUSTED</t>
        </is>
      </c>
    </row>
    <row r="35">
      <c r="A35" s="7" t="inlineStr">
        <is>
          <t>Day 5</t>
        </is>
      </c>
      <c r="B35" s="7" t="inlineStr">
        <is>
          <t>10:01 - 15:00</t>
        </is>
      </c>
      <c r="C35" s="7" t="inlineStr">
        <is>
          <t>Off-Peak (50%)</t>
        </is>
      </c>
      <c r="D35" s="11" t="n">
        <v>864.39</v>
      </c>
      <c r="E35" s="11" t="n">
        <v>2000</v>
      </c>
      <c r="F35" s="11" t="n">
        <v>0</v>
      </c>
      <c r="G35" s="29" t="inlineStr">
        <is>
          <t>Capped by Weekly 10k</t>
        </is>
      </c>
      <c r="H35" s="11" t="n">
        <v>864.39</v>
      </c>
      <c r="I35" s="11" t="n">
        <v>10000</v>
      </c>
      <c r="J35" s="29" t="inlineStr">
        <is>
          <t>EXHAUSTED</t>
        </is>
      </c>
    </row>
    <row r="36">
      <c r="A36" s="12" t="inlineStr">
        <is>
          <t>Day 5</t>
        </is>
      </c>
      <c r="B36" s="12" t="inlineStr">
        <is>
          <t>15:01 - 20:00</t>
        </is>
      </c>
      <c r="C36" s="12" t="inlineStr">
        <is>
          <t>PEAK (100%)</t>
        </is>
      </c>
      <c r="D36" s="16" t="n">
        <v>11340.35</v>
      </c>
      <c r="E36" s="16" t="n">
        <v>2000</v>
      </c>
      <c r="F36" s="16" t="n">
        <v>0</v>
      </c>
      <c r="G36" s="29" t="inlineStr">
        <is>
          <t>OVER (+9,340.4 cr)</t>
        </is>
      </c>
      <c r="H36" s="16" t="n">
        <v>11340.35</v>
      </c>
      <c r="I36" s="16" t="n">
        <v>10000</v>
      </c>
      <c r="J36" s="29" t="inlineStr">
        <is>
          <t>EXHAUSTED</t>
        </is>
      </c>
    </row>
    <row r="37">
      <c r="A37" s="7" t="inlineStr">
        <is>
          <t>Day 5</t>
        </is>
      </c>
      <c r="B37" s="7" t="inlineStr">
        <is>
          <t>20:01 - 01:00</t>
        </is>
      </c>
      <c r="C37" s="7" t="inlineStr">
        <is>
          <t>Off-Peak (50%)</t>
        </is>
      </c>
      <c r="D37" s="11" t="n">
        <v>1890.56</v>
      </c>
      <c r="E37" s="11" t="n">
        <v>2000</v>
      </c>
      <c r="F37" s="11" t="n">
        <v>0</v>
      </c>
      <c r="G37" s="29" t="inlineStr">
        <is>
          <t>Capped by Weekly 10k</t>
        </is>
      </c>
      <c r="H37" s="11" t="n">
        <v>1890.56</v>
      </c>
      <c r="I37" s="11" t="n">
        <v>10000</v>
      </c>
      <c r="J37" s="29" t="inlineStr">
        <is>
          <t>EXHAUSTED</t>
        </is>
      </c>
    </row>
    <row r="38">
      <c r="A38" s="12" t="inlineStr">
        <is>
          <t>Day 6</t>
        </is>
      </c>
      <c r="B38" s="12" t="inlineStr">
        <is>
          <t>05:01 - 10:00</t>
        </is>
      </c>
      <c r="C38" s="12" t="inlineStr">
        <is>
          <t>Off-Peak (50%)</t>
        </is>
      </c>
      <c r="D38" s="16" t="n">
        <v>814.16</v>
      </c>
      <c r="E38" s="16" t="n">
        <v>2000</v>
      </c>
      <c r="F38" s="16" t="n">
        <v>0</v>
      </c>
      <c r="G38" s="29" t="inlineStr">
        <is>
          <t>Capped by Weekly 10k</t>
        </is>
      </c>
      <c r="H38" s="16" t="n">
        <v>814.16</v>
      </c>
      <c r="I38" s="16" t="n">
        <v>10000</v>
      </c>
      <c r="J38" s="29" t="inlineStr">
        <is>
          <t>EXHAUSTED</t>
        </is>
      </c>
    </row>
    <row r="39">
      <c r="A39" s="7" t="inlineStr">
        <is>
          <t>Day 6</t>
        </is>
      </c>
      <c r="B39" s="7" t="inlineStr">
        <is>
          <t>15:01 - 20:00</t>
        </is>
      </c>
      <c r="C39" s="7" t="inlineStr">
        <is>
          <t>PEAK (100%)</t>
        </is>
      </c>
      <c r="D39" s="11" t="n">
        <v>248.37</v>
      </c>
      <c r="E39" s="11" t="n">
        <v>2000</v>
      </c>
      <c r="F39" s="11" t="n">
        <v>0</v>
      </c>
      <c r="G39" s="29" t="inlineStr">
        <is>
          <t>Capped by Weekly 10k</t>
        </is>
      </c>
      <c r="H39" s="11" t="n">
        <v>248.37</v>
      </c>
      <c r="I39" s="11" t="n">
        <v>10000</v>
      </c>
      <c r="J39" s="29" t="inlineStr">
        <is>
          <t>EXHAUSTED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2026-08-26T23:59:10Z</dcterms:created>
  <dcterms:modified xmlns:dcterms="http://purl.org/dc/terms/" xmlns:xsi="http://www.w3.org/2001/XMLSchema-instance" xsi:type="dcterms:W3CDTF">2026-08-27T00:26:28Z</dcterms:modified>
</cp:coreProperties>
</file>